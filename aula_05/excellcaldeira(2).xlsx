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showInkAnnotation="0" autoCompressPictures="0"/>
  <xr:revisionPtr revIDLastSave="0" documentId="8_{FD17B079-8A58-4993-82D3-BB5F6A0794D5}" xr6:coauthVersionLast="47" xr6:coauthVersionMax="47" xr10:uidLastSave="{00000000-0000-0000-0000-000000000000}"/>
  <bookViews>
    <workbookView xWindow="0" yWindow="0" windowWidth="0" windowHeight="0" firstSheet="3" xr2:uid="{00000000-000D-0000-FFFF-FFFF00000000}"/>
  </bookViews>
  <sheets>
    <sheet name="Ex.excel01" sheetId="1" r:id="rId1"/>
    <sheet name="Ex.excel02" sheetId="2" r:id="rId2"/>
    <sheet name="Ex.excel03" sheetId="3" r:id="rId3"/>
    <sheet name="Ex.excel04" sheetId="4" r:id="rId4"/>
    <sheet name="Diabo" sheetId="5" state="hidden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5" l="1"/>
  <c r="X2" i="5"/>
  <c r="U2" i="5"/>
  <c r="Q2" i="5"/>
  <c r="S2" i="5"/>
  <c r="O2" i="5"/>
  <c r="M2" i="5" a="1"/>
  <c r="M2" i="5"/>
  <c r="K2" i="5"/>
  <c r="H2" i="5"/>
  <c r="F3" i="5"/>
  <c r="B2" i="5"/>
  <c r="C2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4" i="5"/>
  <c r="H3" i="5"/>
  <c r="K232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21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Z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U3" i="5"/>
  <c r="Y3" i="5" s="1"/>
  <c r="Z3" i="5" s="1"/>
  <c r="U4" i="5"/>
  <c r="Y4" i="5" s="1"/>
  <c r="Z4" i="5" s="1"/>
  <c r="U5" i="5"/>
  <c r="Y5" i="5" s="1"/>
  <c r="Z5" i="5" s="1"/>
  <c r="U6" i="5"/>
  <c r="Y6" i="5" s="1"/>
  <c r="Z6" i="5" s="1"/>
  <c r="U7" i="5"/>
  <c r="Y7" i="5" s="1"/>
  <c r="Z7" i="5" s="1"/>
  <c r="U8" i="5"/>
  <c r="Y8" i="5" s="1"/>
  <c r="Z8" i="5" s="1"/>
  <c r="U9" i="5"/>
  <c r="Y9" i="5" s="1"/>
  <c r="Z9" i="5" s="1"/>
  <c r="U10" i="5"/>
  <c r="Y10" i="5" s="1"/>
  <c r="Z10" i="5" s="1"/>
  <c r="U11" i="5"/>
  <c r="Y11" i="5" s="1"/>
  <c r="Z11" i="5" s="1"/>
  <c r="U12" i="5"/>
  <c r="Y12" i="5" s="1"/>
  <c r="Z12" i="5" s="1"/>
  <c r="U13" i="5"/>
  <c r="Y13" i="5" s="1"/>
  <c r="Z13" i="5" s="1"/>
  <c r="U14" i="5"/>
  <c r="Y14" i="5" s="1"/>
  <c r="Z14" i="5" s="1"/>
  <c r="U15" i="5"/>
  <c r="Y15" i="5" s="1"/>
  <c r="Z15" i="5" s="1"/>
  <c r="U16" i="5"/>
  <c r="Y16" i="5" s="1"/>
  <c r="Z16" i="5" s="1"/>
  <c r="U17" i="5"/>
  <c r="Y17" i="5" s="1"/>
  <c r="Z17" i="5" s="1"/>
  <c r="U18" i="5"/>
  <c r="Y18" i="5" s="1"/>
  <c r="Z18" i="5" s="1"/>
  <c r="U19" i="5"/>
  <c r="Y19" i="5" s="1"/>
  <c r="Z19" i="5" s="1"/>
  <c r="U20" i="5"/>
  <c r="Y20" i="5" s="1"/>
  <c r="Z20" i="5" s="1"/>
  <c r="U21" i="5"/>
  <c r="Y21" i="5" s="1"/>
  <c r="Z21" i="5" s="1"/>
  <c r="U22" i="5"/>
  <c r="Y22" i="5" s="1"/>
  <c r="Z22" i="5" s="1"/>
  <c r="U23" i="5"/>
  <c r="Y23" i="5" s="1"/>
  <c r="Z23" i="5" s="1"/>
  <c r="U24" i="5"/>
  <c r="Y24" i="5" s="1"/>
  <c r="Z24" i="5" s="1"/>
  <c r="U25" i="5"/>
  <c r="Y25" i="5" s="1"/>
  <c r="Z25" i="5" s="1"/>
  <c r="U26" i="5"/>
  <c r="Y26" i="5" s="1"/>
  <c r="Z26" i="5" s="1"/>
  <c r="U27" i="5"/>
  <c r="Y27" i="5" s="1"/>
  <c r="Z27" i="5" s="1"/>
  <c r="U28" i="5"/>
  <c r="Y28" i="5" s="1"/>
  <c r="Z28" i="5" s="1"/>
  <c r="U29" i="5"/>
  <c r="Y29" i="5" s="1"/>
  <c r="Z29" i="5" s="1"/>
  <c r="U30" i="5"/>
  <c r="Y30" i="5" s="1"/>
  <c r="Z30" i="5" s="1"/>
  <c r="U31" i="5"/>
  <c r="Y31" i="5" s="1"/>
  <c r="Z31" i="5" s="1"/>
  <c r="U32" i="5"/>
  <c r="Y32" i="5" s="1"/>
  <c r="Z32" i="5" s="1"/>
  <c r="U33" i="5"/>
  <c r="Y33" i="5" s="1"/>
  <c r="Z33" i="5" s="1"/>
  <c r="U34" i="5"/>
  <c r="Y34" i="5" s="1"/>
  <c r="Z34" i="5" s="1"/>
  <c r="U35" i="5"/>
  <c r="Y35" i="5" s="1"/>
  <c r="Z35" i="5" s="1"/>
  <c r="U36" i="5"/>
  <c r="Y36" i="5" s="1"/>
  <c r="Z36" i="5" s="1"/>
  <c r="U37" i="5"/>
  <c r="Y37" i="5" s="1"/>
  <c r="Z37" i="5" s="1"/>
  <c r="U38" i="5"/>
  <c r="Y38" i="5" s="1"/>
  <c r="Z38" i="5" s="1"/>
  <c r="U39" i="5"/>
  <c r="Y39" i="5" s="1"/>
  <c r="Z39" i="5" s="1"/>
  <c r="U40" i="5"/>
  <c r="Y40" i="5" s="1"/>
  <c r="Z40" i="5" s="1"/>
  <c r="U41" i="5"/>
  <c r="Y41" i="5" s="1"/>
  <c r="Z41" i="5" s="1"/>
  <c r="U42" i="5"/>
  <c r="Y42" i="5" s="1"/>
  <c r="Z42" i="5" s="1"/>
  <c r="U43" i="5"/>
  <c r="Y43" i="5" s="1"/>
  <c r="Z43" i="5" s="1"/>
  <c r="U44" i="5"/>
  <c r="Y44" i="5" s="1"/>
  <c r="Z44" i="5" s="1"/>
  <c r="U45" i="5"/>
  <c r="Y45" i="5" s="1"/>
  <c r="Z45" i="5" s="1"/>
  <c r="U46" i="5"/>
  <c r="Y46" i="5" s="1"/>
  <c r="Z46" i="5" s="1"/>
  <c r="U47" i="5"/>
  <c r="Y47" i="5" s="1"/>
  <c r="Z47" i="5" s="1"/>
  <c r="U48" i="5"/>
  <c r="Y48" i="5" s="1"/>
  <c r="Z48" i="5" s="1"/>
  <c r="U49" i="5"/>
  <c r="Y49" i="5" s="1"/>
  <c r="Z49" i="5" s="1"/>
  <c r="U50" i="5"/>
  <c r="Y50" i="5" s="1"/>
  <c r="Z50" i="5" s="1"/>
  <c r="U51" i="5"/>
  <c r="Y51" i="5" s="1"/>
  <c r="Z51" i="5" s="1"/>
  <c r="U52" i="5"/>
  <c r="Y52" i="5" s="1"/>
  <c r="Z52" i="5" s="1"/>
  <c r="U53" i="5"/>
  <c r="Y53" i="5" s="1"/>
  <c r="Z53" i="5" s="1"/>
  <c r="U54" i="5"/>
  <c r="Y54" i="5" s="1"/>
  <c r="Z54" i="5" s="1"/>
  <c r="U55" i="5"/>
  <c r="Y55" i="5" s="1"/>
  <c r="Z55" i="5" s="1"/>
  <c r="U56" i="5"/>
  <c r="Y56" i="5" s="1"/>
  <c r="Z56" i="5" s="1"/>
  <c r="U57" i="5"/>
  <c r="Y57" i="5" s="1"/>
  <c r="Z57" i="5" s="1"/>
  <c r="U58" i="5"/>
  <c r="Y58" i="5" s="1"/>
  <c r="Z58" i="5" s="1"/>
  <c r="U59" i="5"/>
  <c r="Y59" i="5" s="1"/>
  <c r="Z59" i="5" s="1"/>
  <c r="U60" i="5"/>
  <c r="Y60" i="5" s="1"/>
  <c r="Z60" i="5" s="1"/>
  <c r="U61" i="5"/>
  <c r="Y61" i="5" s="1"/>
  <c r="Z61" i="5" s="1"/>
  <c r="U62" i="5"/>
  <c r="Y62" i="5" s="1"/>
  <c r="Z62" i="5" s="1"/>
  <c r="U63" i="5"/>
  <c r="Y63" i="5" s="1"/>
  <c r="Z63" i="5" s="1"/>
  <c r="U64" i="5"/>
  <c r="Y64" i="5" s="1"/>
  <c r="Z64" i="5" s="1"/>
  <c r="U65" i="5"/>
  <c r="Y65" i="5" s="1"/>
  <c r="Z65" i="5" s="1"/>
  <c r="U66" i="5"/>
  <c r="Y66" i="5" s="1"/>
  <c r="Z66" i="5" s="1"/>
  <c r="U67" i="5"/>
  <c r="Y67" i="5" s="1"/>
  <c r="Z67" i="5" s="1"/>
  <c r="U68" i="5"/>
  <c r="Y68" i="5" s="1"/>
  <c r="Z68" i="5" s="1"/>
  <c r="U69" i="5"/>
  <c r="Y69" i="5" s="1"/>
  <c r="Z69" i="5" s="1"/>
  <c r="U70" i="5"/>
  <c r="Y70" i="5" s="1"/>
  <c r="Z70" i="5" s="1"/>
  <c r="U71" i="5"/>
  <c r="Y71" i="5" s="1"/>
  <c r="Z71" i="5" s="1"/>
  <c r="U72" i="5"/>
  <c r="Y72" i="5" s="1"/>
  <c r="Z72" i="5" s="1"/>
  <c r="U73" i="5"/>
  <c r="Y73" i="5" s="1"/>
  <c r="Z73" i="5" s="1"/>
  <c r="U74" i="5"/>
  <c r="Y74" i="5" s="1"/>
  <c r="Z74" i="5" s="1"/>
  <c r="U75" i="5"/>
  <c r="Y75" i="5" s="1"/>
  <c r="Z75" i="5" s="1"/>
  <c r="U76" i="5"/>
  <c r="Y76" i="5" s="1"/>
  <c r="Z76" i="5" s="1"/>
  <c r="U77" i="5"/>
  <c r="Y77" i="5" s="1"/>
  <c r="Z77" i="5" s="1"/>
  <c r="U78" i="5"/>
  <c r="Y78" i="5" s="1"/>
  <c r="Z78" i="5" s="1"/>
  <c r="U79" i="5"/>
  <c r="Y79" i="5" s="1"/>
  <c r="Z79" i="5" s="1"/>
  <c r="U80" i="5"/>
  <c r="Y80" i="5" s="1"/>
  <c r="Z80" i="5" s="1"/>
  <c r="U81" i="5"/>
  <c r="Y81" i="5" s="1"/>
  <c r="Z81" i="5" s="1"/>
  <c r="U82" i="5"/>
  <c r="Y82" i="5" s="1"/>
  <c r="Z82" i="5" s="1"/>
  <c r="U83" i="5"/>
  <c r="Y83" i="5" s="1"/>
  <c r="Z83" i="5" s="1"/>
  <c r="U84" i="5"/>
  <c r="Y84" i="5" s="1"/>
  <c r="Z84" i="5" s="1"/>
  <c r="U85" i="5"/>
  <c r="Y85" i="5" s="1"/>
  <c r="Z85" i="5" s="1"/>
  <c r="U86" i="5"/>
  <c r="Y86" i="5" s="1"/>
  <c r="Z86" i="5" s="1"/>
  <c r="U87" i="5"/>
  <c r="Y87" i="5" s="1"/>
  <c r="Z87" i="5" s="1"/>
  <c r="U88" i="5"/>
  <c r="Y88" i="5" s="1"/>
  <c r="Z88" i="5" s="1"/>
  <c r="U89" i="5"/>
  <c r="Y89" i="5" s="1"/>
  <c r="Z89" i="5" s="1"/>
  <c r="U90" i="5"/>
  <c r="Y90" i="5" s="1"/>
  <c r="Z90" i="5" s="1"/>
  <c r="U91" i="5"/>
  <c r="Y91" i="5" s="1"/>
  <c r="Z91" i="5" s="1"/>
  <c r="U92" i="5"/>
  <c r="Y92" i="5" s="1"/>
  <c r="Z92" i="5" s="1"/>
  <c r="U93" i="5"/>
  <c r="Y93" i="5" s="1"/>
  <c r="Z93" i="5" s="1"/>
  <c r="U94" i="5"/>
  <c r="Y94" i="5" s="1"/>
  <c r="Z94" i="5" s="1"/>
  <c r="U95" i="5"/>
  <c r="Y95" i="5" s="1"/>
  <c r="Z95" i="5" s="1"/>
  <c r="U96" i="5"/>
  <c r="Y96" i="5" s="1"/>
  <c r="Z96" i="5" s="1"/>
  <c r="U97" i="5"/>
  <c r="Y97" i="5" s="1"/>
  <c r="Z97" i="5" s="1"/>
  <c r="U98" i="5"/>
  <c r="Y98" i="5" s="1"/>
  <c r="Z98" i="5" s="1"/>
  <c r="U99" i="5"/>
  <c r="Y99" i="5" s="1"/>
  <c r="Z99" i="5" s="1"/>
  <c r="U100" i="5"/>
  <c r="Y100" i="5" s="1"/>
  <c r="Z100" i="5" s="1"/>
  <c r="U101" i="5"/>
  <c r="Y101" i="5" s="1"/>
  <c r="Z101" i="5" s="1"/>
  <c r="U102" i="5"/>
  <c r="Y102" i="5" s="1"/>
  <c r="Z102" i="5" s="1"/>
  <c r="U103" i="5"/>
  <c r="Y103" i="5" s="1"/>
  <c r="Z103" i="5" s="1"/>
  <c r="U104" i="5"/>
  <c r="Y104" i="5" s="1"/>
  <c r="Z104" i="5" s="1"/>
  <c r="U105" i="5"/>
  <c r="Y105" i="5" s="1"/>
  <c r="Z105" i="5" s="1"/>
  <c r="U106" i="5"/>
  <c r="Y106" i="5" s="1"/>
  <c r="Z106" i="5" s="1"/>
  <c r="U107" i="5"/>
  <c r="Y107" i="5" s="1"/>
  <c r="Z107" i="5" s="1"/>
  <c r="U108" i="5"/>
  <c r="Y108" i="5" s="1"/>
  <c r="Z108" i="5" s="1"/>
  <c r="U109" i="5"/>
  <c r="Y109" i="5" s="1"/>
  <c r="Z109" i="5" s="1"/>
  <c r="U110" i="5"/>
  <c r="Y110" i="5" s="1"/>
  <c r="Z110" i="5" s="1"/>
  <c r="U111" i="5"/>
  <c r="Y111" i="5" s="1"/>
  <c r="Z111" i="5" s="1"/>
  <c r="U112" i="5"/>
  <c r="Y112" i="5" s="1"/>
  <c r="Z112" i="5" s="1"/>
  <c r="U113" i="5"/>
  <c r="Y113" i="5" s="1"/>
  <c r="Z113" i="5" s="1"/>
  <c r="U114" i="5"/>
  <c r="Y114" i="5" s="1"/>
  <c r="Z114" i="5" s="1"/>
  <c r="U115" i="5"/>
  <c r="Y115" i="5" s="1"/>
  <c r="Z115" i="5" s="1"/>
  <c r="U116" i="5"/>
  <c r="Y116" i="5" s="1"/>
  <c r="Z116" i="5" s="1"/>
  <c r="U117" i="5"/>
  <c r="Y117" i="5" s="1"/>
  <c r="Z117" i="5" s="1"/>
  <c r="U118" i="5"/>
  <c r="Y118" i="5" s="1"/>
  <c r="Z118" i="5" s="1"/>
  <c r="U119" i="5"/>
  <c r="Y119" i="5" s="1"/>
  <c r="Z119" i="5" s="1"/>
  <c r="U120" i="5"/>
  <c r="Y120" i="5" s="1"/>
  <c r="Z120" i="5" s="1"/>
  <c r="U121" i="5"/>
  <c r="Y121" i="5" s="1"/>
  <c r="Z121" i="5" s="1"/>
  <c r="U122" i="5"/>
  <c r="Y122" i="5" s="1"/>
  <c r="Z122" i="5" s="1"/>
  <c r="U123" i="5"/>
  <c r="Y123" i="5" s="1"/>
  <c r="Z123" i="5" s="1"/>
  <c r="U124" i="5"/>
  <c r="Y124" i="5" s="1"/>
  <c r="Z124" i="5" s="1"/>
  <c r="U125" i="5"/>
  <c r="Y125" i="5" s="1"/>
  <c r="Z125" i="5" s="1"/>
  <c r="U126" i="5"/>
  <c r="Y126" i="5" s="1"/>
  <c r="Z126" i="5" s="1"/>
  <c r="U127" i="5"/>
  <c r="Y127" i="5" s="1"/>
  <c r="Z127" i="5" s="1"/>
  <c r="U128" i="5"/>
  <c r="Y128" i="5" s="1"/>
  <c r="Z128" i="5" s="1"/>
  <c r="U129" i="5"/>
  <c r="Y129" i="5" s="1"/>
  <c r="Z129" i="5" s="1"/>
  <c r="U130" i="5"/>
  <c r="Y130" i="5" s="1"/>
  <c r="Z130" i="5" s="1"/>
  <c r="U131" i="5"/>
  <c r="Y131" i="5" s="1"/>
  <c r="Z131" i="5" s="1"/>
  <c r="U132" i="5"/>
  <c r="Y132" i="5" s="1"/>
  <c r="Z132" i="5" s="1"/>
  <c r="U133" i="5"/>
  <c r="Y133" i="5" s="1"/>
  <c r="Z133" i="5" s="1"/>
  <c r="U134" i="5"/>
  <c r="Y134" i="5" s="1"/>
  <c r="Z134" i="5" s="1"/>
  <c r="U135" i="5"/>
  <c r="Y135" i="5" s="1"/>
  <c r="Z135" i="5" s="1"/>
  <c r="U136" i="5"/>
  <c r="Y136" i="5" s="1"/>
  <c r="Z136" i="5" s="1"/>
  <c r="U137" i="5"/>
  <c r="Y137" i="5" s="1"/>
  <c r="Z137" i="5" s="1"/>
  <c r="U138" i="5"/>
  <c r="Y138" i="5" s="1"/>
  <c r="Z138" i="5" s="1"/>
  <c r="U139" i="5"/>
  <c r="Y139" i="5" s="1"/>
  <c r="Z139" i="5" s="1"/>
  <c r="U140" i="5"/>
  <c r="Y140" i="5" s="1"/>
  <c r="Z140" i="5" s="1"/>
  <c r="U141" i="5"/>
  <c r="Y141" i="5" s="1"/>
  <c r="Z141" i="5" s="1"/>
  <c r="U142" i="5"/>
  <c r="Y142" i="5" s="1"/>
  <c r="Z142" i="5" s="1"/>
  <c r="U143" i="5"/>
  <c r="Y143" i="5" s="1"/>
  <c r="Z143" i="5" s="1"/>
  <c r="U144" i="5"/>
  <c r="Y144" i="5" s="1"/>
  <c r="Z144" i="5" s="1"/>
  <c r="U145" i="5"/>
  <c r="Y145" i="5" s="1"/>
  <c r="Z145" i="5" s="1"/>
  <c r="U146" i="5"/>
  <c r="Y146" i="5" s="1"/>
  <c r="Z146" i="5" s="1"/>
  <c r="U147" i="5"/>
  <c r="Y147" i="5" s="1"/>
  <c r="Z147" i="5" s="1"/>
  <c r="U148" i="5"/>
  <c r="Y148" i="5" s="1"/>
  <c r="Z148" i="5" s="1"/>
  <c r="U149" i="5"/>
  <c r="Y149" i="5" s="1"/>
  <c r="Z149" i="5" s="1"/>
  <c r="U150" i="5"/>
  <c r="Y150" i="5" s="1"/>
  <c r="Z150" i="5" s="1"/>
  <c r="U151" i="5"/>
  <c r="Y151" i="5" s="1"/>
  <c r="Z151" i="5" s="1"/>
  <c r="U152" i="5"/>
  <c r="Y152" i="5" s="1"/>
  <c r="Z152" i="5" s="1"/>
  <c r="U153" i="5"/>
  <c r="Y153" i="5" s="1"/>
  <c r="Z153" i="5" s="1"/>
  <c r="U154" i="5"/>
  <c r="Y154" i="5" s="1"/>
  <c r="Z154" i="5" s="1"/>
  <c r="U155" i="5"/>
  <c r="Y155" i="5" s="1"/>
  <c r="Z155" i="5" s="1"/>
  <c r="U156" i="5"/>
  <c r="Y156" i="5" s="1"/>
  <c r="Z156" i="5" s="1"/>
  <c r="U157" i="5"/>
  <c r="Y157" i="5" s="1"/>
  <c r="Z157" i="5" s="1"/>
  <c r="U158" i="5"/>
  <c r="Y158" i="5" s="1"/>
  <c r="Z158" i="5" s="1"/>
  <c r="U159" i="5"/>
  <c r="Y159" i="5" s="1"/>
  <c r="Z159" i="5" s="1"/>
  <c r="U160" i="5"/>
  <c r="Y160" i="5" s="1"/>
  <c r="Z160" i="5" s="1"/>
  <c r="U161" i="5"/>
  <c r="Y161" i="5" s="1"/>
  <c r="Z161" i="5" s="1"/>
  <c r="U162" i="5"/>
  <c r="Y162" i="5" s="1"/>
  <c r="Z162" i="5" s="1"/>
  <c r="U163" i="5"/>
  <c r="Y163" i="5" s="1"/>
  <c r="Z163" i="5" s="1"/>
  <c r="U164" i="5"/>
  <c r="Y164" i="5" s="1"/>
  <c r="Z164" i="5" s="1"/>
  <c r="U165" i="5"/>
  <c r="Y165" i="5" s="1"/>
  <c r="Z165" i="5" s="1"/>
  <c r="U166" i="5"/>
  <c r="Y166" i="5" s="1"/>
  <c r="Z166" i="5" s="1"/>
  <c r="U167" i="5"/>
  <c r="Y167" i="5" s="1"/>
  <c r="Z167" i="5" s="1"/>
  <c r="U168" i="5"/>
  <c r="Y168" i="5" s="1"/>
  <c r="Z168" i="5" s="1"/>
  <c r="U169" i="5"/>
  <c r="Y169" i="5" s="1"/>
  <c r="Z169" i="5" s="1"/>
  <c r="U170" i="5"/>
  <c r="Y170" i="5" s="1"/>
  <c r="Z170" i="5" s="1"/>
  <c r="U171" i="5"/>
  <c r="Y171" i="5" s="1"/>
  <c r="Z171" i="5" s="1"/>
  <c r="U172" i="5"/>
  <c r="Y172" i="5" s="1"/>
  <c r="Z172" i="5" s="1"/>
  <c r="U173" i="5"/>
  <c r="Y173" i="5" s="1"/>
  <c r="Z173" i="5" s="1"/>
  <c r="U174" i="5"/>
  <c r="Y174" i="5" s="1"/>
  <c r="Z174" i="5" s="1"/>
  <c r="U175" i="5"/>
  <c r="Y175" i="5" s="1"/>
  <c r="Z175" i="5" s="1"/>
  <c r="U176" i="5"/>
  <c r="Y176" i="5" s="1"/>
  <c r="Z176" i="5" s="1"/>
  <c r="U177" i="5"/>
  <c r="Y177" i="5" s="1"/>
  <c r="Z177" i="5" s="1"/>
  <c r="U178" i="5"/>
  <c r="Y178" i="5" s="1"/>
  <c r="Z178" i="5" s="1"/>
  <c r="U179" i="5"/>
  <c r="Y179" i="5" s="1"/>
  <c r="Z179" i="5" s="1"/>
  <c r="U180" i="5"/>
  <c r="Y180" i="5" s="1"/>
  <c r="Z180" i="5" s="1"/>
  <c r="U181" i="5"/>
  <c r="Y181" i="5" s="1"/>
  <c r="Z181" i="5" s="1"/>
  <c r="U182" i="5"/>
  <c r="Y182" i="5" s="1"/>
  <c r="Z182" i="5" s="1"/>
  <c r="U183" i="5"/>
  <c r="Y183" i="5" s="1"/>
  <c r="Z183" i="5" s="1"/>
  <c r="U184" i="5"/>
  <c r="Y184" i="5" s="1"/>
  <c r="Z184" i="5" s="1"/>
  <c r="U185" i="5"/>
  <c r="Y185" i="5" s="1"/>
  <c r="Z185" i="5" s="1"/>
  <c r="U186" i="5"/>
  <c r="Y186" i="5" s="1"/>
  <c r="Z186" i="5" s="1"/>
  <c r="U187" i="5"/>
  <c r="Y187" i="5" s="1"/>
  <c r="Z187" i="5" s="1"/>
  <c r="U188" i="5"/>
  <c r="Y188" i="5" s="1"/>
  <c r="Z188" i="5" s="1"/>
  <c r="U189" i="5"/>
  <c r="Y189" i="5" s="1"/>
  <c r="Z189" i="5" s="1"/>
  <c r="U190" i="5"/>
  <c r="Y190" i="5" s="1"/>
  <c r="Z190" i="5" s="1"/>
  <c r="U191" i="5"/>
  <c r="Y191" i="5" s="1"/>
  <c r="Z191" i="5" s="1"/>
  <c r="U192" i="5"/>
  <c r="Y192" i="5" s="1"/>
  <c r="Z192" i="5" s="1"/>
  <c r="U193" i="5"/>
  <c r="Y193" i="5" s="1"/>
  <c r="Z193" i="5" s="1"/>
  <c r="U194" i="5"/>
  <c r="Y194" i="5" s="1"/>
  <c r="Z194" i="5" s="1"/>
  <c r="U195" i="5"/>
  <c r="Y195" i="5" s="1"/>
  <c r="Z195" i="5" s="1"/>
  <c r="U196" i="5"/>
  <c r="Y196" i="5" s="1"/>
  <c r="Z196" i="5" s="1"/>
  <c r="U197" i="5"/>
  <c r="Y197" i="5" s="1"/>
  <c r="Z197" i="5" s="1"/>
  <c r="U198" i="5"/>
  <c r="Y198" i="5" s="1"/>
  <c r="Z198" i="5" s="1"/>
  <c r="U199" i="5"/>
  <c r="Y199" i="5" s="1"/>
  <c r="Z199" i="5" s="1"/>
  <c r="U200" i="5"/>
  <c r="Y200" i="5" s="1"/>
  <c r="Z200" i="5" s="1"/>
  <c r="U201" i="5"/>
  <c r="Y201" i="5" s="1"/>
  <c r="Z201" i="5" s="1"/>
  <c r="U202" i="5"/>
  <c r="Y202" i="5" s="1"/>
  <c r="Z202" i="5" s="1"/>
  <c r="U203" i="5"/>
  <c r="Y203" i="5" s="1"/>
  <c r="Z203" i="5" s="1"/>
  <c r="U204" i="5"/>
  <c r="Y204" i="5" s="1"/>
  <c r="Z204" i="5" s="1"/>
  <c r="U205" i="5"/>
  <c r="Y205" i="5" s="1"/>
  <c r="Z205" i="5" s="1"/>
  <c r="U206" i="5"/>
  <c r="Y206" i="5" s="1"/>
  <c r="Z206" i="5" s="1"/>
  <c r="U207" i="5"/>
  <c r="Y207" i="5" s="1"/>
  <c r="Z207" i="5" s="1"/>
  <c r="U208" i="5"/>
  <c r="Y208" i="5" s="1"/>
  <c r="Z208" i="5" s="1"/>
  <c r="U209" i="5"/>
  <c r="Y209" i="5" s="1"/>
  <c r="Z209" i="5" s="1"/>
  <c r="U210" i="5"/>
  <c r="Y210" i="5" s="1"/>
  <c r="Z210" i="5" s="1"/>
  <c r="U211" i="5"/>
  <c r="Y211" i="5" s="1"/>
  <c r="Z211" i="5" s="1"/>
  <c r="U212" i="5"/>
  <c r="Y212" i="5" s="1"/>
  <c r="Z212" i="5" s="1"/>
  <c r="U213" i="5"/>
  <c r="Y213" i="5" s="1"/>
  <c r="Z213" i="5" s="1"/>
  <c r="U214" i="5"/>
  <c r="Y214" i="5" s="1"/>
  <c r="Z214" i="5" s="1"/>
  <c r="U215" i="5"/>
  <c r="Y215" i="5" s="1"/>
  <c r="Z215" i="5" s="1"/>
  <c r="U216" i="5"/>
  <c r="Y216" i="5" s="1"/>
  <c r="Z216" i="5" s="1"/>
  <c r="U217" i="5"/>
  <c r="Y217" i="5" s="1"/>
  <c r="Z217" i="5" s="1"/>
  <c r="U218" i="5"/>
  <c r="Y218" i="5" s="1"/>
  <c r="Z218" i="5" s="1"/>
  <c r="U219" i="5"/>
  <c r="Y219" i="5" s="1"/>
  <c r="Z219" i="5" s="1"/>
  <c r="U220" i="5"/>
  <c r="Y220" i="5" s="1"/>
  <c r="Z220" i="5" s="1"/>
  <c r="U221" i="5"/>
  <c r="Y221" i="5" s="1"/>
  <c r="Z221" i="5" s="1"/>
  <c r="U222" i="5"/>
  <c r="Y222" i="5" s="1"/>
  <c r="Z222" i="5" s="1"/>
  <c r="U223" i="5"/>
  <c r="Y223" i="5" s="1"/>
  <c r="Z223" i="5" s="1"/>
  <c r="U224" i="5"/>
  <c r="Y224" i="5" s="1"/>
  <c r="Z224" i="5" s="1"/>
  <c r="U225" i="5"/>
  <c r="Y225" i="5" s="1"/>
  <c r="Z225" i="5" s="1"/>
  <c r="U226" i="5"/>
  <c r="Y226" i="5" s="1"/>
  <c r="Z226" i="5" s="1"/>
  <c r="U227" i="5"/>
  <c r="Y227" i="5" s="1"/>
  <c r="Z227" i="5" s="1"/>
  <c r="U228" i="5"/>
  <c r="Y228" i="5" s="1"/>
  <c r="Z228" i="5" s="1"/>
  <c r="U229" i="5"/>
  <c r="Y229" i="5" s="1"/>
  <c r="Z229" i="5" s="1"/>
  <c r="U230" i="5"/>
  <c r="Y230" i="5" s="1"/>
  <c r="Z230" i="5" s="1"/>
  <c r="U231" i="5"/>
  <c r="Y231" i="5" s="1"/>
  <c r="Z231" i="5" s="1"/>
  <c r="U232" i="5"/>
  <c r="Y232" i="5" s="1"/>
  <c r="Z232" i="5" s="1"/>
  <c r="U233" i="5"/>
  <c r="Y233" i="5" s="1"/>
  <c r="Z233" i="5" s="1"/>
  <c r="U234" i="5"/>
  <c r="Y234" i="5" s="1"/>
  <c r="Z234" i="5" s="1"/>
  <c r="U235" i="5"/>
  <c r="Y235" i="5" s="1"/>
  <c r="Z235" i="5" s="1"/>
  <c r="U236" i="5"/>
  <c r="Y236" i="5" s="1"/>
  <c r="Z236" i="5" s="1"/>
  <c r="U237" i="5"/>
  <c r="Y237" i="5" s="1"/>
  <c r="Z237" i="5" s="1"/>
  <c r="U238" i="5"/>
  <c r="Y238" i="5" s="1"/>
  <c r="Z238" i="5" s="1"/>
  <c r="U239" i="5"/>
  <c r="Y239" i="5" s="1"/>
  <c r="Z239" i="5" s="1"/>
  <c r="U240" i="5"/>
  <c r="Y240" i="5" s="1"/>
  <c r="Z240" i="5" s="1"/>
  <c r="U241" i="5"/>
  <c r="Y241" i="5" s="1"/>
  <c r="Z241" i="5" s="1"/>
  <c r="U242" i="5"/>
  <c r="Y242" i="5" s="1"/>
  <c r="Z242" i="5" s="1"/>
  <c r="U243" i="5"/>
  <c r="Y243" i="5" s="1"/>
  <c r="Z243" i="5" s="1"/>
  <c r="U244" i="5"/>
  <c r="Y244" i="5" s="1"/>
  <c r="Z244" i="5" s="1"/>
  <c r="U245" i="5"/>
  <c r="Y245" i="5" s="1"/>
  <c r="Z245" i="5" s="1"/>
  <c r="U246" i="5"/>
  <c r="Y246" i="5" s="1"/>
  <c r="Z246" i="5" s="1"/>
  <c r="U247" i="5"/>
  <c r="Y247" i="5" s="1"/>
  <c r="Z247" i="5" s="1"/>
  <c r="U248" i="5"/>
  <c r="Y248" i="5" s="1"/>
  <c r="Z248" i="5" s="1"/>
  <c r="U249" i="5"/>
  <c r="Y249" i="5" s="1"/>
  <c r="Z249" i="5" s="1"/>
  <c r="U250" i="5"/>
  <c r="Y250" i="5" s="1"/>
  <c r="Z250" i="5" s="1"/>
  <c r="U251" i="5"/>
  <c r="Y251" i="5" s="1"/>
  <c r="Z251" i="5" s="1"/>
  <c r="U252" i="5"/>
  <c r="Y252" i="5" s="1"/>
  <c r="Z252" i="5" s="1"/>
  <c r="U253" i="5"/>
  <c r="Y253" i="5" s="1"/>
  <c r="Z253" i="5" s="1"/>
  <c r="U254" i="5"/>
  <c r="Y254" i="5" s="1"/>
  <c r="Z254" i="5" s="1"/>
  <c r="U255" i="5"/>
  <c r="Y255" i="5" s="1"/>
  <c r="Z255" i="5" s="1"/>
  <c r="U256" i="5"/>
  <c r="Y256" i="5" s="1"/>
  <c r="Z256" i="5" s="1"/>
  <c r="U257" i="5"/>
  <c r="Y257" i="5" s="1"/>
  <c r="Z257" i="5" s="1"/>
  <c r="U258" i="5"/>
  <c r="Y258" i="5" s="1"/>
  <c r="Z258" i="5" s="1"/>
  <c r="U259" i="5"/>
  <c r="Y259" i="5" s="1"/>
  <c r="Z259" i="5" s="1"/>
  <c r="U260" i="5"/>
  <c r="Y260" i="5" s="1"/>
  <c r="Z260" i="5" s="1"/>
  <c r="U261" i="5"/>
  <c r="Y261" i="5" s="1"/>
  <c r="Z261" i="5" s="1"/>
  <c r="U262" i="5"/>
  <c r="Y262" i="5" s="1"/>
  <c r="Z262" i="5" s="1"/>
  <c r="U263" i="5"/>
  <c r="Y263" i="5" s="1"/>
  <c r="Z263" i="5" s="1"/>
  <c r="U264" i="5"/>
  <c r="Y264" i="5" s="1"/>
  <c r="Z264" i="5" s="1"/>
  <c r="U265" i="5"/>
  <c r="Y265" i="5" s="1"/>
  <c r="Z265" i="5" s="1"/>
  <c r="U266" i="5"/>
  <c r="Y266" i="5" s="1"/>
  <c r="Z266" i="5" s="1"/>
  <c r="U267" i="5"/>
  <c r="Y267" i="5" s="1"/>
  <c r="Z267" i="5" s="1"/>
  <c r="U268" i="5"/>
  <c r="Y268" i="5" s="1"/>
  <c r="Z268" i="5" s="1"/>
  <c r="U269" i="5"/>
  <c r="Y269" i="5" s="1"/>
  <c r="Z269" i="5" s="1"/>
  <c r="U270" i="5"/>
  <c r="Y270" i="5" s="1"/>
  <c r="Z270" i="5" s="1"/>
  <c r="U271" i="5"/>
  <c r="Y271" i="5" s="1"/>
  <c r="Z271" i="5" s="1"/>
  <c r="U272" i="5"/>
  <c r="Y272" i="5" s="1"/>
  <c r="Z272" i="5" s="1"/>
  <c r="U273" i="5"/>
  <c r="Y273" i="5" s="1"/>
  <c r="Z273" i="5" s="1"/>
  <c r="U274" i="5"/>
  <c r="Y274" i="5" s="1"/>
  <c r="Z274" i="5" s="1"/>
  <c r="U275" i="5"/>
  <c r="Y275" i="5" s="1"/>
  <c r="Z275" i="5" s="1"/>
  <c r="U276" i="5"/>
  <c r="Y276" i="5" s="1"/>
  <c r="Z276" i="5" s="1"/>
  <c r="U277" i="5"/>
  <c r="Y277" i="5" s="1"/>
  <c r="Z277" i="5" s="1"/>
  <c r="U278" i="5"/>
  <c r="Y278" i="5" s="1"/>
  <c r="Z278" i="5" s="1"/>
  <c r="U279" i="5"/>
  <c r="Y279" i="5" s="1"/>
  <c r="Z279" i="5" s="1"/>
  <c r="U280" i="5"/>
  <c r="Y280" i="5" s="1"/>
  <c r="Z280" i="5" s="1"/>
  <c r="U281" i="5"/>
  <c r="Y281" i="5" s="1"/>
  <c r="Z281" i="5" s="1"/>
  <c r="U282" i="5"/>
  <c r="Y282" i="5" s="1"/>
  <c r="Z282" i="5" s="1"/>
  <c r="U283" i="5"/>
  <c r="Y283" i="5" s="1"/>
  <c r="Z283" i="5" s="1"/>
  <c r="U284" i="5"/>
  <c r="Y284" i="5" s="1"/>
  <c r="Z284" i="5" s="1"/>
  <c r="U285" i="5"/>
  <c r="Y285" i="5" s="1"/>
  <c r="Z285" i="5" s="1"/>
  <c r="U286" i="5"/>
  <c r="Y286" i="5" s="1"/>
  <c r="Z286" i="5" s="1"/>
  <c r="U287" i="5"/>
  <c r="Y287" i="5" s="1"/>
  <c r="Z287" i="5" s="1"/>
  <c r="U288" i="5"/>
  <c r="Y288" i="5" s="1"/>
  <c r="Z288" i="5" s="1"/>
  <c r="U289" i="5"/>
  <c r="Y289" i="5" s="1"/>
  <c r="Z289" i="5" s="1"/>
  <c r="U290" i="5"/>
  <c r="Y290" i="5" s="1"/>
  <c r="Z290" i="5" s="1"/>
  <c r="U291" i="5"/>
  <c r="Y291" i="5" s="1"/>
  <c r="Z291" i="5" s="1"/>
  <c r="U292" i="5"/>
  <c r="Y292" i="5" s="1"/>
  <c r="Z292" i="5" s="1"/>
  <c r="U293" i="5"/>
  <c r="Y293" i="5" s="1"/>
  <c r="Z293" i="5" s="1"/>
  <c r="U294" i="5"/>
  <c r="Y294" i="5" s="1"/>
  <c r="Z294" i="5" s="1"/>
  <c r="U295" i="5"/>
  <c r="Y295" i="5" s="1"/>
  <c r="Z295" i="5" s="1"/>
  <c r="U296" i="5"/>
  <c r="Y296" i="5" s="1"/>
  <c r="Z296" i="5" s="1"/>
  <c r="U297" i="5"/>
  <c r="Y297" i="5" s="1"/>
  <c r="Z297" i="5" s="1"/>
  <c r="U298" i="5"/>
  <c r="Y298" i="5" s="1"/>
  <c r="Z298" i="5" s="1"/>
  <c r="U299" i="5"/>
  <c r="Y299" i="5" s="1"/>
  <c r="Z299" i="5" s="1"/>
  <c r="U300" i="5"/>
  <c r="Y300" i="5" s="1"/>
  <c r="Z300" i="5" s="1"/>
  <c r="U301" i="5"/>
  <c r="Y301" i="5" s="1"/>
  <c r="Z301" i="5" s="1"/>
  <c r="U302" i="5"/>
  <c r="Y302" i="5" s="1"/>
  <c r="Z302" i="5" s="1"/>
  <c r="U303" i="5"/>
  <c r="Y303" i="5" s="1"/>
  <c r="Z303" i="5" s="1"/>
  <c r="U304" i="5"/>
  <c r="Y304" i="5" s="1"/>
  <c r="Z304" i="5" s="1"/>
  <c r="U305" i="5"/>
  <c r="Y305" i="5" s="1"/>
  <c r="Z305" i="5" s="1"/>
  <c r="U306" i="5"/>
  <c r="Y306" i="5" s="1"/>
  <c r="Z306" i="5" s="1"/>
  <c r="U307" i="5"/>
  <c r="Y307" i="5" s="1"/>
  <c r="Z307" i="5" s="1"/>
  <c r="U308" i="5"/>
  <c r="Y308" i="5" s="1"/>
  <c r="Z308" i="5" s="1"/>
  <c r="U309" i="5"/>
  <c r="Y309" i="5" s="1"/>
  <c r="Z309" i="5" s="1"/>
  <c r="U310" i="5"/>
  <c r="Y310" i="5" s="1"/>
  <c r="Z310" i="5" s="1"/>
  <c r="U311" i="5"/>
  <c r="Y311" i="5" s="1"/>
  <c r="Z311" i="5" s="1"/>
  <c r="U312" i="5"/>
  <c r="Y312" i="5" s="1"/>
  <c r="Z312" i="5" s="1"/>
  <c r="U313" i="5"/>
  <c r="Y313" i="5" s="1"/>
  <c r="Z313" i="5" s="1"/>
  <c r="U314" i="5"/>
  <c r="Y314" i="5" s="1"/>
  <c r="Z314" i="5" s="1"/>
  <c r="U315" i="5"/>
  <c r="Y315" i="5" s="1"/>
  <c r="Z315" i="5" s="1"/>
  <c r="U316" i="5"/>
  <c r="Y316" i="5" s="1"/>
  <c r="Z316" i="5" s="1"/>
  <c r="U317" i="5"/>
  <c r="Y317" i="5" s="1"/>
  <c r="Z317" i="5" s="1"/>
  <c r="U318" i="5"/>
  <c r="Y318" i="5" s="1"/>
  <c r="Z318" i="5" s="1"/>
  <c r="U319" i="5"/>
  <c r="Y319" i="5" s="1"/>
  <c r="Z319" i="5" s="1"/>
  <c r="U320" i="5"/>
  <c r="Y320" i="5" s="1"/>
  <c r="Z320" i="5" s="1"/>
  <c r="U321" i="5"/>
  <c r="Y321" i="5" s="1"/>
  <c r="Z321" i="5" s="1"/>
  <c r="U322" i="5"/>
  <c r="Y322" i="5" s="1"/>
  <c r="Z322" i="5" s="1"/>
  <c r="U323" i="5"/>
  <c r="Y323" i="5" s="1"/>
  <c r="Z323" i="5" s="1"/>
  <c r="U324" i="5"/>
  <c r="Y324" i="5" s="1"/>
  <c r="Z324" i="5" s="1"/>
  <c r="U325" i="5"/>
  <c r="Y325" i="5" s="1"/>
  <c r="Z325" i="5" s="1"/>
  <c r="U326" i="5"/>
  <c r="Y326" i="5" s="1"/>
  <c r="Z326" i="5" s="1"/>
  <c r="U327" i="5"/>
  <c r="Y327" i="5" s="1"/>
  <c r="Z327" i="5" s="1"/>
  <c r="U328" i="5"/>
  <c r="Y328" i="5" s="1"/>
  <c r="Z328" i="5" s="1"/>
  <c r="U329" i="5"/>
  <c r="Y329" i="5" s="1"/>
  <c r="Z329" i="5" s="1"/>
  <c r="U330" i="5"/>
  <c r="Y330" i="5" s="1"/>
  <c r="Z330" i="5" s="1"/>
  <c r="U331" i="5"/>
  <c r="Y331" i="5" s="1"/>
  <c r="Z331" i="5" s="1"/>
  <c r="U332" i="5"/>
  <c r="Y332" i="5" s="1"/>
  <c r="Z332" i="5" s="1"/>
  <c r="U333" i="5"/>
  <c r="Y333" i="5" s="1"/>
  <c r="Z333" i="5" s="1"/>
  <c r="U334" i="5"/>
  <c r="Y334" i="5" s="1"/>
  <c r="Z334" i="5" s="1"/>
  <c r="U335" i="5"/>
  <c r="Y335" i="5" s="1"/>
  <c r="Z335" i="5" s="1"/>
  <c r="U336" i="5"/>
  <c r="Y336" i="5" s="1"/>
  <c r="Z336" i="5" s="1"/>
  <c r="U337" i="5"/>
  <c r="Y337" i="5" s="1"/>
  <c r="Z337" i="5" s="1"/>
  <c r="U338" i="5"/>
  <c r="Y338" i="5" s="1"/>
  <c r="Z338" i="5" s="1"/>
  <c r="U339" i="5"/>
  <c r="Y339" i="5" s="1"/>
  <c r="Z339" i="5" s="1"/>
  <c r="U340" i="5"/>
  <c r="Y340" i="5" s="1"/>
  <c r="Z340" i="5" s="1"/>
  <c r="U341" i="5"/>
  <c r="Y341" i="5" s="1"/>
  <c r="Z341" i="5" s="1"/>
  <c r="U342" i="5"/>
  <c r="Y342" i="5" s="1"/>
  <c r="Z342" i="5" s="1"/>
  <c r="U343" i="5"/>
  <c r="Y343" i="5" s="1"/>
  <c r="Z343" i="5" s="1"/>
  <c r="U344" i="5"/>
  <c r="Y344" i="5" s="1"/>
  <c r="Z344" i="5" s="1"/>
  <c r="U345" i="5"/>
  <c r="Y345" i="5" s="1"/>
  <c r="Z345" i="5" s="1"/>
  <c r="U346" i="5"/>
  <c r="Y346" i="5" s="1"/>
  <c r="Z346" i="5" s="1"/>
  <c r="U347" i="5"/>
  <c r="Y347" i="5" s="1"/>
  <c r="Z347" i="5" s="1"/>
  <c r="U348" i="5"/>
  <c r="Y348" i="5" s="1"/>
  <c r="Z348" i="5" s="1"/>
  <c r="U349" i="5"/>
  <c r="Y349" i="5" s="1"/>
  <c r="Z349" i="5" s="1"/>
  <c r="U350" i="5"/>
  <c r="Y350" i="5" s="1"/>
  <c r="Z350" i="5" s="1"/>
  <c r="U351" i="5"/>
  <c r="Y351" i="5" s="1"/>
  <c r="Z351" i="5" s="1"/>
  <c r="U352" i="5"/>
  <c r="Y352" i="5" s="1"/>
  <c r="Z352" i="5" s="1"/>
  <c r="U353" i="5"/>
  <c r="Y353" i="5" s="1"/>
  <c r="Z353" i="5" s="1"/>
  <c r="U354" i="5"/>
  <c r="Y354" i="5" s="1"/>
  <c r="Z354" i="5" s="1"/>
  <c r="U355" i="5"/>
  <c r="Y355" i="5" s="1"/>
  <c r="Z355" i="5" s="1"/>
  <c r="U356" i="5"/>
  <c r="Y356" i="5" s="1"/>
  <c r="Z356" i="5" s="1"/>
  <c r="U357" i="5"/>
  <c r="Y357" i="5" s="1"/>
  <c r="Z357" i="5" s="1"/>
  <c r="U358" i="5"/>
  <c r="Y358" i="5" s="1"/>
  <c r="Z358" i="5" s="1"/>
  <c r="U359" i="5"/>
  <c r="Y359" i="5" s="1"/>
  <c r="Z359" i="5" s="1"/>
  <c r="U360" i="5"/>
  <c r="Y360" i="5" s="1"/>
  <c r="Z360" i="5" s="1"/>
  <c r="U361" i="5"/>
  <c r="Y361" i="5" s="1"/>
  <c r="Z361" i="5" s="1"/>
  <c r="U362" i="5"/>
  <c r="Y362" i="5" s="1"/>
  <c r="Z362" i="5" s="1"/>
  <c r="U363" i="5"/>
  <c r="Y363" i="5" s="1"/>
  <c r="Z363" i="5" s="1"/>
  <c r="U364" i="5"/>
  <c r="Y364" i="5" s="1"/>
  <c r="Z364" i="5" s="1"/>
  <c r="U365" i="5"/>
  <c r="Y365" i="5" s="1"/>
  <c r="Z365" i="5" s="1"/>
  <c r="U366" i="5"/>
  <c r="Y366" i="5" s="1"/>
  <c r="Z366" i="5" s="1"/>
  <c r="U367" i="5"/>
  <c r="Y367" i="5" s="1"/>
  <c r="Z367" i="5" s="1"/>
  <c r="U368" i="5"/>
  <c r="Y368" i="5" s="1"/>
  <c r="Z368" i="5" s="1"/>
  <c r="U369" i="5"/>
  <c r="Y369" i="5" s="1"/>
  <c r="Z369" i="5" s="1"/>
  <c r="M3" i="5" a="1"/>
  <c r="M3" i="5"/>
  <c r="M4" i="5" a="1"/>
  <c r="M4" i="5"/>
  <c r="M6" i="5" a="1"/>
  <c r="M6" i="5"/>
  <c r="M8" i="5" a="1"/>
  <c r="M8" i="5"/>
  <c r="M9" i="5" a="1"/>
  <c r="M9" i="5"/>
  <c r="M10" i="5" a="1"/>
  <c r="M10" i="5"/>
  <c r="M11" i="5" a="1"/>
  <c r="M11" i="5"/>
  <c r="M12" i="5" a="1"/>
  <c r="M12" i="5"/>
  <c r="M13" i="5" a="1"/>
  <c r="M13" i="5"/>
  <c r="M14" i="5" a="1"/>
  <c r="M14" i="5"/>
  <c r="M15" i="5" a="1"/>
  <c r="M15" i="5"/>
  <c r="M16" i="5" a="1"/>
  <c r="M16" i="5"/>
  <c r="M17" i="5" a="1"/>
  <c r="M17" i="5"/>
  <c r="M18" i="5" a="1"/>
  <c r="M18" i="5"/>
  <c r="M19" i="5" a="1"/>
  <c r="M19" i="5"/>
  <c r="M20" i="5" a="1"/>
  <c r="M20" i="5"/>
  <c r="M21" i="5" a="1"/>
  <c r="M21" i="5"/>
  <c r="M22" i="5" a="1"/>
  <c r="M22" i="5"/>
  <c r="M24" i="5" a="1"/>
  <c r="M24" i="5"/>
  <c r="M25" i="5" a="1"/>
  <c r="M25" i="5"/>
  <c r="M26" i="5" a="1"/>
  <c r="M26" i="5"/>
  <c r="M27" i="5" a="1"/>
  <c r="M27" i="5"/>
  <c r="M29" i="5" a="1"/>
  <c r="M29" i="5"/>
  <c r="M30" i="5" a="1"/>
  <c r="M30" i="5"/>
  <c r="M31" i="5" a="1"/>
  <c r="M31" i="5"/>
  <c r="M32" i="5" a="1"/>
  <c r="M32" i="5"/>
  <c r="M33" i="5" a="1"/>
  <c r="M33" i="5"/>
  <c r="M34" i="5" a="1"/>
  <c r="M34" i="5"/>
  <c r="M35" i="5" a="1"/>
  <c r="M35" i="5"/>
  <c r="M36" i="5" a="1"/>
  <c r="M36" i="5"/>
  <c r="M37" i="5" a="1"/>
  <c r="M37" i="5"/>
  <c r="M38" i="5" a="1"/>
  <c r="M38" i="5"/>
  <c r="M39" i="5" a="1"/>
  <c r="M39" i="5"/>
  <c r="M40" i="5" a="1"/>
  <c r="M40" i="5"/>
  <c r="M41" i="5" a="1"/>
  <c r="M41" i="5"/>
  <c r="M42" i="5" a="1"/>
  <c r="M42" i="5"/>
  <c r="M43" i="5" a="1"/>
  <c r="M43" i="5"/>
  <c r="M45" i="5" a="1"/>
  <c r="M45" i="5"/>
  <c r="M46" i="5" a="1"/>
  <c r="M46" i="5"/>
  <c r="M47" i="5" a="1"/>
  <c r="M47" i="5"/>
  <c r="M48" i="5" a="1"/>
  <c r="M48" i="5"/>
  <c r="M49" i="5" a="1"/>
  <c r="M49" i="5"/>
  <c r="M50" i="5" a="1"/>
  <c r="M50" i="5"/>
  <c r="M51" i="5" a="1"/>
  <c r="M51" i="5"/>
  <c r="M52" i="5" a="1"/>
  <c r="M52" i="5"/>
  <c r="M53" i="5" a="1"/>
  <c r="M53" i="5"/>
  <c r="M54" i="5" a="1"/>
  <c r="M54" i="5"/>
  <c r="M56" i="5" a="1"/>
  <c r="M56" i="5"/>
  <c r="M57" i="5" a="1"/>
  <c r="M57" i="5"/>
  <c r="M58" i="5" a="1"/>
  <c r="M58" i="5"/>
  <c r="M59" i="5" a="1"/>
  <c r="M59" i="5"/>
  <c r="M60" i="5" a="1"/>
  <c r="M60" i="5"/>
  <c r="M61" i="5" a="1"/>
  <c r="M61" i="5"/>
  <c r="M62" i="5" a="1"/>
  <c r="M62" i="5"/>
  <c r="M63" i="5" a="1"/>
  <c r="M63" i="5"/>
  <c r="M64" i="5" a="1"/>
  <c r="M64" i="5"/>
  <c r="M65" i="5" a="1"/>
  <c r="M65" i="5"/>
  <c r="M66" i="5" a="1"/>
  <c r="M66" i="5"/>
  <c r="M67" i="5" a="1"/>
  <c r="M67" i="5"/>
  <c r="M68" i="5" a="1"/>
  <c r="M68" i="5"/>
  <c r="M69" i="5" a="1"/>
  <c r="M69" i="5"/>
  <c r="M70" i="5" a="1"/>
  <c r="M70" i="5"/>
  <c r="M71" i="5" a="1"/>
  <c r="M71" i="5"/>
  <c r="M72" i="5" a="1"/>
  <c r="M72" i="5"/>
  <c r="M74" i="5" a="1"/>
  <c r="M74" i="5"/>
  <c r="M75" i="5" a="1"/>
  <c r="M75" i="5"/>
  <c r="M76" i="5" a="1"/>
  <c r="M76" i="5"/>
  <c r="M77" i="5" a="1"/>
  <c r="M77" i="5"/>
  <c r="M78" i="5" a="1"/>
  <c r="M78" i="5"/>
  <c r="M79" i="5" a="1"/>
  <c r="M79" i="5"/>
  <c r="M80" i="5" a="1"/>
  <c r="M80" i="5"/>
  <c r="M81" i="5" a="1"/>
  <c r="M81" i="5"/>
  <c r="M82" i="5" a="1"/>
  <c r="M82" i="5"/>
  <c r="M83" i="5" a="1"/>
  <c r="M83" i="5"/>
  <c r="M84" i="5" a="1"/>
  <c r="M84" i="5"/>
  <c r="M86" i="5" a="1"/>
  <c r="M86" i="5"/>
  <c r="M87" i="5" a="1"/>
  <c r="M87" i="5"/>
  <c r="M88" i="5" a="1"/>
  <c r="M88" i="5"/>
  <c r="M89" i="5" a="1"/>
  <c r="M89" i="5"/>
  <c r="M90" i="5" a="1"/>
  <c r="M90" i="5"/>
  <c r="M92" i="5" a="1"/>
  <c r="M92" i="5"/>
  <c r="M93" i="5" a="1"/>
  <c r="M93" i="5"/>
  <c r="M94" i="5" a="1"/>
  <c r="M94" i="5"/>
  <c r="M95" i="5" a="1"/>
  <c r="M95" i="5"/>
  <c r="M96" i="5" a="1"/>
  <c r="M96" i="5"/>
  <c r="M97" i="5" a="1"/>
  <c r="M97" i="5"/>
  <c r="M100" i="5" a="1"/>
  <c r="M100" i="5"/>
  <c r="M101" i="5" a="1"/>
  <c r="M101" i="5"/>
  <c r="M102" i="5" a="1"/>
  <c r="M102" i="5"/>
  <c r="M103" i="5" a="1"/>
  <c r="M103" i="5"/>
  <c r="M104" i="5" a="1"/>
  <c r="M104" i="5"/>
  <c r="M105" i="5" a="1"/>
  <c r="M105" i="5"/>
  <c r="M106" i="5" a="1"/>
  <c r="M106" i="5"/>
  <c r="M107" i="5" a="1"/>
  <c r="M107" i="5"/>
  <c r="M110" i="5" a="1"/>
  <c r="M110" i="5"/>
  <c r="M111" i="5" a="1"/>
  <c r="M111" i="5"/>
  <c r="M112" i="5" a="1"/>
  <c r="M112" i="5"/>
  <c r="M113" i="5" a="1"/>
  <c r="M113" i="5"/>
  <c r="M114" i="5" a="1"/>
  <c r="M114" i="5"/>
  <c r="M115" i="5" a="1"/>
  <c r="M115" i="5"/>
  <c r="M117" i="5" a="1"/>
  <c r="M117" i="5"/>
  <c r="M118" i="5" a="1"/>
  <c r="M118" i="5"/>
  <c r="M119" i="5" a="1"/>
  <c r="M119" i="5"/>
  <c r="M121" i="5" a="1"/>
  <c r="M121" i="5"/>
  <c r="M122" i="5" a="1"/>
  <c r="M122" i="5"/>
  <c r="M123" i="5" a="1"/>
  <c r="M123" i="5"/>
  <c r="M124" i="5" a="1"/>
  <c r="M124" i="5"/>
  <c r="M125" i="5" a="1"/>
  <c r="M125" i="5"/>
  <c r="M126" i="5" a="1"/>
  <c r="M126" i="5"/>
  <c r="M127" i="5" a="1"/>
  <c r="M127" i="5"/>
  <c r="M128" i="5" a="1"/>
  <c r="M128" i="5"/>
  <c r="M129" i="5" a="1"/>
  <c r="M129" i="5"/>
  <c r="M130" i="5" a="1"/>
  <c r="M130" i="5"/>
  <c r="M131" i="5" a="1"/>
  <c r="M131" i="5"/>
  <c r="M132" i="5" a="1"/>
  <c r="M132" i="5"/>
  <c r="M133" i="5" a="1"/>
  <c r="M133" i="5"/>
  <c r="M134" i="5" a="1"/>
  <c r="M134" i="5"/>
  <c r="M135" i="5" a="1"/>
  <c r="M135" i="5"/>
  <c r="M136" i="5" a="1"/>
  <c r="M136" i="5"/>
  <c r="M137" i="5" a="1"/>
  <c r="M137" i="5"/>
  <c r="M139" i="5" a="1"/>
  <c r="M139" i="5"/>
  <c r="M140" i="5" a="1"/>
  <c r="M140" i="5"/>
  <c r="M141" i="5" a="1"/>
  <c r="M141" i="5"/>
  <c r="M142" i="5" a="1"/>
  <c r="M142" i="5"/>
  <c r="M143" i="5" a="1"/>
  <c r="M143" i="5"/>
  <c r="M144" i="5" a="1"/>
  <c r="M144" i="5"/>
  <c r="M145" i="5" a="1"/>
  <c r="M145" i="5"/>
  <c r="M146" i="5" a="1"/>
  <c r="M146" i="5"/>
  <c r="M147" i="5" a="1"/>
  <c r="M147" i="5"/>
  <c r="M148" i="5" a="1"/>
  <c r="M148" i="5"/>
  <c r="M149" i="5" a="1"/>
  <c r="M149" i="5"/>
  <c r="M150" i="5" a="1"/>
  <c r="M150" i="5"/>
  <c r="M151" i="5" a="1"/>
  <c r="M151" i="5"/>
  <c r="M152" i="5" a="1"/>
  <c r="M152" i="5"/>
  <c r="M153" i="5" a="1"/>
  <c r="M153" i="5"/>
  <c r="M154" i="5" a="1"/>
  <c r="M154" i="5"/>
  <c r="M155" i="5" a="1"/>
  <c r="M155" i="5"/>
  <c r="M156" i="5" a="1"/>
  <c r="M156" i="5"/>
  <c r="M157" i="5" a="1"/>
  <c r="M157" i="5"/>
  <c r="M158" i="5" a="1"/>
  <c r="M158" i="5"/>
  <c r="M159" i="5" a="1"/>
  <c r="M159" i="5"/>
  <c r="M160" i="5" a="1"/>
  <c r="M160" i="5"/>
  <c r="M161" i="5" a="1"/>
  <c r="M161" i="5"/>
  <c r="M162" i="5" a="1"/>
  <c r="M162" i="5"/>
  <c r="M164" i="5" a="1"/>
  <c r="M164" i="5"/>
  <c r="M166" i="5" a="1"/>
  <c r="M166" i="5"/>
  <c r="M167" i="5" a="1"/>
  <c r="M167" i="5"/>
  <c r="M168" i="5" a="1"/>
  <c r="M168" i="5"/>
  <c r="M169" i="5" a="1"/>
  <c r="M169" i="5"/>
  <c r="M170" i="5" a="1"/>
  <c r="M170" i="5"/>
  <c r="M171" i="5" a="1"/>
  <c r="M171" i="5"/>
  <c r="M172" i="5" a="1"/>
  <c r="M172" i="5"/>
  <c r="M174" i="5" a="1"/>
  <c r="M174" i="5"/>
  <c r="M175" i="5" a="1"/>
  <c r="M175" i="5"/>
  <c r="M176" i="5" a="1"/>
  <c r="M176" i="5"/>
  <c r="M177" i="5" a="1"/>
  <c r="M177" i="5"/>
  <c r="M178" i="5" a="1"/>
  <c r="M178" i="5"/>
  <c r="M179" i="5" a="1"/>
  <c r="M179" i="5"/>
  <c r="M180" i="5" a="1"/>
  <c r="M180" i="5"/>
  <c r="M181" i="5" a="1"/>
  <c r="M181" i="5"/>
  <c r="M182" i="5" a="1"/>
  <c r="M182" i="5"/>
  <c r="M183" i="5" a="1"/>
  <c r="M183" i="5"/>
  <c r="M184" i="5" a="1"/>
  <c r="M184" i="5"/>
  <c r="M185" i="5" a="1"/>
  <c r="M185" i="5"/>
  <c r="M187" i="5" a="1"/>
  <c r="M187" i="5"/>
  <c r="M188" i="5" a="1"/>
  <c r="M188" i="5"/>
  <c r="M189" i="5" a="1"/>
  <c r="M189" i="5"/>
  <c r="M190" i="5" a="1"/>
  <c r="M190" i="5"/>
  <c r="M191" i="5" a="1"/>
  <c r="M191" i="5"/>
  <c r="M192" i="5" a="1"/>
  <c r="M192" i="5"/>
  <c r="M194" i="5" a="1"/>
  <c r="M194" i="5"/>
  <c r="M195" i="5" a="1"/>
  <c r="M195" i="5"/>
  <c r="M196" i="5" a="1"/>
  <c r="M196" i="5"/>
  <c r="M197" i="5" a="1"/>
  <c r="M197" i="5"/>
  <c r="M199" i="5" a="1"/>
  <c r="M199" i="5"/>
  <c r="M200" i="5" a="1"/>
  <c r="M200" i="5"/>
  <c r="M201" i="5" a="1"/>
  <c r="M201" i="5"/>
  <c r="M204" i="5" a="1"/>
  <c r="M204" i="5"/>
  <c r="M205" i="5" a="1"/>
  <c r="M205" i="5"/>
  <c r="M206" i="5" a="1"/>
  <c r="M206" i="5"/>
  <c r="M207" i="5" a="1"/>
  <c r="M207" i="5"/>
  <c r="M208" i="5" a="1"/>
  <c r="M208" i="5"/>
  <c r="M209" i="5" a="1"/>
  <c r="M209" i="5"/>
  <c r="M210" i="5" a="1"/>
  <c r="M210" i="5"/>
  <c r="M211" i="5" a="1"/>
  <c r="M211" i="5"/>
  <c r="M212" i="5" a="1"/>
  <c r="M212" i="5"/>
  <c r="M214" i="5" a="1"/>
  <c r="M214" i="5"/>
  <c r="M215" i="5" a="1"/>
  <c r="M215" i="5"/>
  <c r="M216" i="5" a="1"/>
  <c r="M216" i="5"/>
  <c r="M217" i="5" a="1"/>
  <c r="M217" i="5"/>
  <c r="M218" i="5" a="1"/>
  <c r="M218" i="5"/>
  <c r="M219" i="5" a="1"/>
  <c r="M219" i="5"/>
  <c r="M220" i="5" a="1"/>
  <c r="M220" i="5"/>
  <c r="M221" i="5" a="1"/>
  <c r="M221" i="5"/>
  <c r="M222" i="5" a="1"/>
  <c r="M222" i="5"/>
  <c r="M223" i="5" a="1"/>
  <c r="M223" i="5"/>
  <c r="M224" i="5" a="1"/>
  <c r="M224" i="5"/>
  <c r="M225" i="5" a="1"/>
  <c r="M225" i="5"/>
  <c r="M226" i="5" a="1"/>
  <c r="M226" i="5"/>
  <c r="M227" i="5" a="1"/>
  <c r="M227" i="5"/>
  <c r="M228" i="5" a="1"/>
  <c r="M228" i="5"/>
  <c r="M229" i="5" a="1"/>
  <c r="M229" i="5"/>
  <c r="M230" i="5" a="1"/>
  <c r="M230" i="5"/>
  <c r="M231" i="5" a="1"/>
  <c r="M231" i="5"/>
  <c r="M232" i="5" a="1"/>
  <c r="M232" i="5"/>
  <c r="M233" i="5" a="1"/>
  <c r="M233" i="5"/>
  <c r="M234" i="5" a="1"/>
  <c r="M234" i="5"/>
  <c r="M235" i="5" a="1"/>
  <c r="M235" i="5"/>
  <c r="M236" i="5" a="1"/>
  <c r="M236" i="5"/>
  <c r="M237" i="5" a="1"/>
  <c r="M237" i="5"/>
  <c r="M238" i="5" a="1"/>
  <c r="M238" i="5"/>
  <c r="M239" i="5" a="1"/>
  <c r="M239" i="5"/>
  <c r="M240" i="5" a="1"/>
  <c r="M240" i="5"/>
  <c r="M241" i="5" a="1"/>
  <c r="M241" i="5"/>
  <c r="M242" i="5" a="1"/>
  <c r="M242" i="5"/>
  <c r="M243" i="5" a="1"/>
  <c r="M243" i="5"/>
  <c r="M245" i="5" a="1"/>
  <c r="M245" i="5"/>
  <c r="M246" i="5" a="1"/>
  <c r="M246" i="5"/>
  <c r="M247" i="5" a="1"/>
  <c r="M247" i="5"/>
  <c r="M248" i="5" a="1"/>
  <c r="M248" i="5"/>
  <c r="M249" i="5" a="1"/>
  <c r="M249" i="5"/>
  <c r="M250" i="5" a="1"/>
  <c r="M250" i="5"/>
  <c r="M251" i="5" a="1"/>
  <c r="M251" i="5"/>
  <c r="M252" i="5" a="1"/>
  <c r="M252" i="5"/>
  <c r="M254" i="5" a="1"/>
  <c r="M254" i="5"/>
  <c r="M255" i="5" a="1"/>
  <c r="M255" i="5"/>
  <c r="M256" i="5" a="1"/>
  <c r="M256" i="5"/>
  <c r="M257" i="5" a="1"/>
  <c r="M257" i="5"/>
  <c r="M258" i="5" a="1"/>
  <c r="M258" i="5"/>
  <c r="M259" i="5" a="1"/>
  <c r="M259" i="5"/>
  <c r="M260" i="5" a="1"/>
  <c r="M260" i="5"/>
  <c r="M261" i="5" a="1"/>
  <c r="M261" i="5"/>
  <c r="M262" i="5" a="1"/>
  <c r="M262" i="5"/>
  <c r="M263" i="5" a="1"/>
  <c r="M263" i="5"/>
  <c r="M264" i="5" a="1"/>
  <c r="M264" i="5"/>
  <c r="M265" i="5" a="1"/>
  <c r="M265" i="5"/>
  <c r="M266" i="5" a="1"/>
  <c r="M266" i="5"/>
  <c r="M267" i="5" a="1"/>
  <c r="M267" i="5"/>
  <c r="M268" i="5" a="1"/>
  <c r="M268" i="5"/>
  <c r="M269" i="5" a="1"/>
  <c r="M269" i="5"/>
  <c r="M270" i="5" a="1"/>
  <c r="M270" i="5"/>
  <c r="M271" i="5" a="1"/>
  <c r="M271" i="5"/>
  <c r="M273" i="5" a="1"/>
  <c r="M273" i="5"/>
  <c r="M274" i="5" a="1"/>
  <c r="M274" i="5"/>
  <c r="M275" i="5" a="1"/>
  <c r="M275" i="5"/>
  <c r="M276" i="5" a="1"/>
  <c r="M276" i="5"/>
  <c r="M277" i="5" a="1"/>
  <c r="M277" i="5"/>
  <c r="M278" i="5" a="1"/>
  <c r="M278" i="5"/>
  <c r="M279" i="5" a="1"/>
  <c r="M279" i="5"/>
  <c r="M280" i="5" a="1"/>
  <c r="M280" i="5"/>
  <c r="M281" i="5" a="1"/>
  <c r="M281" i="5"/>
  <c r="M282" i="5" a="1"/>
  <c r="M282" i="5"/>
  <c r="M283" i="5" a="1"/>
  <c r="M283" i="5"/>
  <c r="M284" i="5" a="1"/>
  <c r="M284" i="5"/>
  <c r="M285" i="5" a="1"/>
  <c r="M285" i="5"/>
  <c r="M286" i="5" a="1"/>
  <c r="M286" i="5"/>
  <c r="M289" i="5" a="1"/>
  <c r="M289" i="5"/>
  <c r="M291" i="5" a="1"/>
  <c r="M291" i="5"/>
  <c r="M292" i="5" a="1"/>
  <c r="M292" i="5"/>
  <c r="M293" i="5" a="1"/>
  <c r="M293" i="5"/>
  <c r="M294" i="5" a="1"/>
  <c r="M294" i="5"/>
  <c r="M295" i="5" a="1"/>
  <c r="M295" i="5"/>
  <c r="M296" i="5" a="1"/>
  <c r="M296" i="5"/>
  <c r="M297" i="5" a="1"/>
  <c r="M297" i="5"/>
  <c r="M299" i="5" a="1"/>
  <c r="M299" i="5"/>
  <c r="M300" i="5" a="1"/>
  <c r="M300" i="5"/>
  <c r="M301" i="5" a="1"/>
  <c r="M301" i="5"/>
  <c r="M302" i="5" a="1"/>
  <c r="M302" i="5"/>
  <c r="M303" i="5" a="1"/>
  <c r="M303" i="5"/>
  <c r="M304" i="5" a="1"/>
  <c r="M304" i="5"/>
  <c r="M305" i="5" a="1"/>
  <c r="M305" i="5"/>
  <c r="M306" i="5" a="1"/>
  <c r="M306" i="5"/>
  <c r="M307" i="5" a="1"/>
  <c r="M307" i="5"/>
  <c r="M308" i="5" a="1"/>
  <c r="M308" i="5"/>
  <c r="M310" i="5" a="1"/>
  <c r="M310" i="5"/>
  <c r="M311" i="5" a="1"/>
  <c r="M311" i="5"/>
  <c r="M313" i="5" a="1"/>
  <c r="M313" i="5"/>
  <c r="M314" i="5" a="1"/>
  <c r="M314" i="5"/>
  <c r="M315" i="5" a="1"/>
  <c r="M315" i="5"/>
  <c r="M316" i="5" a="1"/>
  <c r="M316" i="5"/>
  <c r="M317" i="5" a="1"/>
  <c r="M317" i="5"/>
  <c r="M318" i="5" a="1"/>
  <c r="M318" i="5"/>
  <c r="M319" i="5" a="1"/>
  <c r="M319" i="5"/>
  <c r="M320" i="5" a="1"/>
  <c r="M320" i="5"/>
  <c r="M321" i="5" a="1"/>
  <c r="M321" i="5"/>
  <c r="M322" i="5" a="1"/>
  <c r="M322" i="5"/>
  <c r="M323" i="5" a="1"/>
  <c r="M323" i="5"/>
  <c r="M324" i="5" a="1"/>
  <c r="M324" i="5"/>
  <c r="M325" i="5" a="1"/>
  <c r="M325" i="5"/>
  <c r="M327" i="5" a="1"/>
  <c r="M327" i="5"/>
  <c r="M328" i="5" a="1"/>
  <c r="M328" i="5"/>
  <c r="M329" i="5" a="1"/>
  <c r="M329" i="5"/>
  <c r="M331" i="5" a="1"/>
  <c r="M331" i="5"/>
  <c r="M332" i="5" a="1"/>
  <c r="M332" i="5"/>
  <c r="M333" i="5" a="1"/>
  <c r="M333" i="5"/>
  <c r="M334" i="5" a="1"/>
  <c r="M334" i="5"/>
  <c r="M335" i="5" a="1"/>
  <c r="M335" i="5"/>
  <c r="M336" i="5" a="1"/>
  <c r="M336" i="5"/>
  <c r="M337" i="5" a="1"/>
  <c r="M337" i="5"/>
  <c r="M339" i="5" a="1"/>
  <c r="M339" i="5"/>
  <c r="M340" i="5" a="1"/>
  <c r="M340" i="5"/>
  <c r="M341" i="5" a="1"/>
  <c r="M341" i="5"/>
  <c r="M342" i="5" a="1"/>
  <c r="M342" i="5"/>
  <c r="M343" i="5" a="1"/>
  <c r="M343" i="5"/>
  <c r="M344" i="5" a="1"/>
  <c r="M344" i="5"/>
  <c r="M345" i="5" a="1"/>
  <c r="M345" i="5"/>
  <c r="M346" i="5" a="1"/>
  <c r="M346" i="5"/>
  <c r="M347" i="5" a="1"/>
  <c r="M347" i="5"/>
  <c r="M348" i="5" a="1"/>
  <c r="M348" i="5"/>
  <c r="M349" i="5" a="1"/>
  <c r="M349" i="5"/>
  <c r="M350" i="5" a="1"/>
  <c r="M350" i="5"/>
  <c r="M351" i="5" a="1"/>
  <c r="M351" i="5"/>
  <c r="M352" i="5" a="1"/>
  <c r="M352" i="5"/>
  <c r="M353" i="5" a="1"/>
  <c r="M353" i="5"/>
  <c r="M354" i="5" a="1"/>
  <c r="M354" i="5"/>
  <c r="M355" i="5" a="1"/>
  <c r="M355" i="5"/>
  <c r="M356" i="5" a="1"/>
  <c r="M356" i="5"/>
  <c r="M357" i="5" a="1"/>
  <c r="M357" i="5"/>
  <c r="M358" i="5" a="1"/>
  <c r="M358" i="5"/>
  <c r="M359" i="5" a="1"/>
  <c r="M359" i="5"/>
  <c r="M360" i="5" a="1"/>
  <c r="M360" i="5"/>
  <c r="M361" i="5" a="1"/>
  <c r="M361" i="5"/>
  <c r="M362" i="5" a="1"/>
  <c r="M362" i="5"/>
  <c r="M363" i="5" a="1"/>
  <c r="M363" i="5"/>
  <c r="M364" i="5" a="1"/>
  <c r="M364" i="5"/>
  <c r="M365" i="5" a="1"/>
  <c r="M365" i="5"/>
  <c r="M366" i="5" a="1"/>
  <c r="M366" i="5"/>
  <c r="M367" i="5" a="1"/>
  <c r="M367" i="5"/>
  <c r="M368" i="5" a="1"/>
  <c r="M368" i="5"/>
  <c r="M369" i="5" a="1"/>
  <c r="M369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M23" i="5" s="1" a="1"/>
  <c r="M23" i="5" s="1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M44" i="5" s="1" a="1"/>
  <c r="M44" i="5" s="1"/>
  <c r="K45" i="5"/>
  <c r="K46" i="5"/>
  <c r="K47" i="5"/>
  <c r="K48" i="5"/>
  <c r="K49" i="5"/>
  <c r="K50" i="5"/>
  <c r="K51" i="5"/>
  <c r="K52" i="5"/>
  <c r="K53" i="5"/>
  <c r="K54" i="5"/>
  <c r="K55" i="5"/>
  <c r="M55" i="5" s="1" a="1"/>
  <c r="M55" i="5" s="1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M73" i="5" s="1" a="1"/>
  <c r="M73" i="5" s="1"/>
  <c r="K74" i="5"/>
  <c r="K75" i="5"/>
  <c r="K76" i="5"/>
  <c r="K77" i="5"/>
  <c r="K78" i="5"/>
  <c r="K79" i="5"/>
  <c r="K80" i="5"/>
  <c r="K81" i="5"/>
  <c r="K82" i="5"/>
  <c r="K83" i="5"/>
  <c r="K84" i="5"/>
  <c r="K85" i="5"/>
  <c r="M85" i="5" s="1" a="1"/>
  <c r="M85" i="5" s="1"/>
  <c r="K86" i="5"/>
  <c r="K87" i="5"/>
  <c r="K88" i="5"/>
  <c r="K89" i="5"/>
  <c r="K90" i="5"/>
  <c r="K91" i="5"/>
  <c r="M91" i="5" s="1" a="1"/>
  <c r="M91" i="5" s="1"/>
  <c r="K92" i="5"/>
  <c r="K93" i="5"/>
  <c r="K94" i="5"/>
  <c r="K95" i="5"/>
  <c r="K96" i="5"/>
  <c r="K97" i="5"/>
  <c r="K98" i="5"/>
  <c r="M98" i="5" s="1" a="1"/>
  <c r="M98" i="5" s="1"/>
  <c r="K99" i="5"/>
  <c r="M99" i="5" s="1" a="1"/>
  <c r="M99" i="5" s="1"/>
  <c r="K100" i="5"/>
  <c r="K101" i="5"/>
  <c r="K102" i="5"/>
  <c r="K103" i="5"/>
  <c r="K104" i="5"/>
  <c r="K105" i="5"/>
  <c r="K106" i="5"/>
  <c r="K107" i="5"/>
  <c r="K108" i="5"/>
  <c r="M108" i="5" s="1" a="1"/>
  <c r="M108" i="5" s="1"/>
  <c r="K109" i="5"/>
  <c r="M109" i="5" s="1" a="1"/>
  <c r="M109" i="5" s="1"/>
  <c r="K110" i="5"/>
  <c r="K111" i="5"/>
  <c r="K112" i="5"/>
  <c r="K113" i="5"/>
  <c r="K114" i="5"/>
  <c r="K115" i="5"/>
  <c r="K116" i="5"/>
  <c r="M116" i="5" s="1" a="1"/>
  <c r="M116" i="5" s="1"/>
  <c r="K117" i="5"/>
  <c r="K118" i="5"/>
  <c r="K119" i="5"/>
  <c r="K120" i="5"/>
  <c r="M120" i="5" s="1" a="1"/>
  <c r="M120" i="5" s="1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M138" i="5" s="1" a="1"/>
  <c r="M138" i="5" s="1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M163" i="5" s="1" a="1"/>
  <c r="M163" i="5" s="1"/>
  <c r="K164" i="5"/>
  <c r="K165" i="5"/>
  <c r="M165" i="5" s="1" a="1"/>
  <c r="M165" i="5" s="1"/>
  <c r="K166" i="5"/>
  <c r="K167" i="5"/>
  <c r="K168" i="5"/>
  <c r="K169" i="5"/>
  <c r="K170" i="5"/>
  <c r="K171" i="5"/>
  <c r="K172" i="5"/>
  <c r="K173" i="5"/>
  <c r="M173" i="5" s="1" a="1"/>
  <c r="M173" i="5" s="1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M186" i="5" s="1" a="1"/>
  <c r="M186" i="5" s="1"/>
  <c r="K187" i="5"/>
  <c r="K188" i="5"/>
  <c r="K189" i="5"/>
  <c r="K190" i="5"/>
  <c r="K191" i="5"/>
  <c r="K192" i="5"/>
  <c r="K193" i="5"/>
  <c r="M193" i="5" s="1" a="1"/>
  <c r="M193" i="5" s="1"/>
  <c r="K194" i="5"/>
  <c r="K195" i="5"/>
  <c r="K196" i="5"/>
  <c r="K197" i="5"/>
  <c r="K198" i="5"/>
  <c r="M198" i="5" s="1" a="1"/>
  <c r="M198" i="5" s="1"/>
  <c r="K199" i="5"/>
  <c r="K200" i="5"/>
  <c r="K201" i="5"/>
  <c r="K202" i="5"/>
  <c r="M202" i="5" s="1" a="1"/>
  <c r="M202" i="5" s="1"/>
  <c r="K203" i="5"/>
  <c r="M203" i="5" s="1" a="1"/>
  <c r="M203" i="5" s="1"/>
  <c r="K204" i="5"/>
  <c r="K205" i="5"/>
  <c r="K206" i="5"/>
  <c r="K207" i="5"/>
  <c r="K208" i="5"/>
  <c r="K209" i="5"/>
  <c r="K210" i="5"/>
  <c r="K211" i="5"/>
  <c r="K212" i="5"/>
  <c r="K213" i="5"/>
  <c r="M213" i="5" s="1" a="1"/>
  <c r="M213" i="5" s="1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M244" i="5" s="1" a="1"/>
  <c r="M244" i="5" s="1"/>
  <c r="K245" i="5"/>
  <c r="K246" i="5"/>
  <c r="K247" i="5"/>
  <c r="K248" i="5"/>
  <c r="K249" i="5"/>
  <c r="K250" i="5"/>
  <c r="K251" i="5"/>
  <c r="K252" i="5"/>
  <c r="K253" i="5"/>
  <c r="M253" i="5" s="1" a="1"/>
  <c r="M253" i="5" s="1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M272" i="5" s="1" a="1"/>
  <c r="M272" i="5" s="1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M287" i="5" s="1" a="1"/>
  <c r="M287" i="5" s="1"/>
  <c r="K288" i="5"/>
  <c r="M288" i="5" s="1" a="1"/>
  <c r="M288" i="5" s="1"/>
  <c r="K289" i="5"/>
  <c r="K290" i="5"/>
  <c r="M290" i="5" s="1" a="1"/>
  <c r="M290" i="5" s="1"/>
  <c r="K291" i="5"/>
  <c r="K292" i="5"/>
  <c r="K293" i="5"/>
  <c r="K294" i="5"/>
  <c r="K295" i="5"/>
  <c r="K296" i="5"/>
  <c r="K297" i="5"/>
  <c r="K298" i="5"/>
  <c r="M298" i="5" s="1" a="1"/>
  <c r="M298" i="5" s="1"/>
  <c r="K299" i="5"/>
  <c r="K300" i="5"/>
  <c r="K301" i="5"/>
  <c r="K302" i="5"/>
  <c r="K303" i="5"/>
  <c r="K304" i="5"/>
  <c r="K305" i="5"/>
  <c r="K306" i="5"/>
  <c r="K307" i="5"/>
  <c r="K308" i="5"/>
  <c r="K309" i="5"/>
  <c r="M309" i="5" s="1" a="1"/>
  <c r="M309" i="5" s="1"/>
  <c r="K310" i="5"/>
  <c r="K311" i="5"/>
  <c r="K312" i="5"/>
  <c r="M312" i="5" s="1" a="1"/>
  <c r="M312" i="5" s="1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M326" i="5" s="1" a="1"/>
  <c r="M326" i="5" s="1"/>
  <c r="K327" i="5"/>
  <c r="K328" i="5"/>
  <c r="K329" i="5"/>
  <c r="K330" i="5"/>
  <c r="M330" i="5" s="1" a="1"/>
  <c r="M330" i="5" s="1"/>
  <c r="K331" i="5"/>
  <c r="K332" i="5"/>
  <c r="K333" i="5"/>
  <c r="K334" i="5"/>
  <c r="K335" i="5"/>
  <c r="K336" i="5"/>
  <c r="K337" i="5"/>
  <c r="K338" i="5"/>
  <c r="M338" i="5" s="1" a="1"/>
  <c r="M338" i="5" s="1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4" i="5"/>
  <c r="F5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G3" i="3"/>
  <c r="G4" i="3"/>
  <c r="G5" i="3"/>
  <c r="G6" i="3"/>
  <c r="F7" i="4"/>
  <c r="F3" i="4"/>
  <c r="F6" i="4"/>
  <c r="F5" i="4"/>
  <c r="F4" i="4"/>
  <c r="F7" i="3"/>
  <c r="G7" i="3" s="1"/>
  <c r="F6" i="3"/>
  <c r="F5" i="3"/>
  <c r="F4" i="3"/>
  <c r="F3" i="3"/>
  <c r="D8" i="2"/>
  <c r="D7" i="2"/>
  <c r="D6" i="2"/>
  <c r="D5" i="2"/>
  <c r="D4" i="2"/>
  <c r="D3" i="2"/>
  <c r="AA369" i="5" l="1"/>
  <c r="AB369" i="5" s="1"/>
  <c r="AA368" i="5"/>
  <c r="AB368" i="5" s="1"/>
  <c r="AA367" i="5"/>
  <c r="AB367" i="5" s="1"/>
  <c r="AA366" i="5"/>
  <c r="AB366" i="5" s="1"/>
  <c r="AA365" i="5"/>
  <c r="AB365" i="5" s="1"/>
  <c r="AA364" i="5"/>
  <c r="AB364" i="5" s="1"/>
  <c r="AA363" i="5"/>
  <c r="AB363" i="5" s="1"/>
  <c r="AA362" i="5"/>
  <c r="AB362" i="5" s="1"/>
  <c r="AA361" i="5"/>
  <c r="AB361" i="5" s="1"/>
  <c r="AA360" i="5"/>
  <c r="AB360" i="5" s="1"/>
  <c r="AA359" i="5"/>
  <c r="AB359" i="5" s="1"/>
  <c r="AA358" i="5"/>
  <c r="AB358" i="5" s="1"/>
  <c r="AA357" i="5"/>
  <c r="AB357" i="5" s="1"/>
  <c r="AA356" i="5"/>
  <c r="AB356" i="5" s="1"/>
  <c r="AA355" i="5"/>
  <c r="AB355" i="5" s="1"/>
  <c r="AA354" i="5"/>
  <c r="AB354" i="5" s="1"/>
  <c r="AA353" i="5"/>
  <c r="AB353" i="5" s="1"/>
  <c r="AA352" i="5"/>
  <c r="AB352" i="5" s="1"/>
  <c r="AA351" i="5"/>
  <c r="AB351" i="5" s="1"/>
  <c r="AA350" i="5"/>
  <c r="AB350" i="5" s="1"/>
  <c r="AA349" i="5"/>
  <c r="AB349" i="5" s="1"/>
  <c r="AA348" i="5"/>
  <c r="AB348" i="5" s="1"/>
  <c r="AA347" i="5"/>
  <c r="AB347" i="5" s="1"/>
  <c r="AA346" i="5"/>
  <c r="AB346" i="5" s="1"/>
  <c r="AA345" i="5"/>
  <c r="AB345" i="5" s="1"/>
  <c r="AA344" i="5"/>
  <c r="AB344" i="5" s="1"/>
  <c r="AA343" i="5"/>
  <c r="AB343" i="5" s="1"/>
  <c r="AA342" i="5"/>
  <c r="AB342" i="5" s="1"/>
  <c r="AA341" i="5"/>
  <c r="AB341" i="5" s="1"/>
  <c r="AA340" i="5"/>
  <c r="AB340" i="5" s="1"/>
  <c r="AA339" i="5"/>
  <c r="AB339" i="5" s="1"/>
  <c r="AA338" i="5"/>
  <c r="AB338" i="5" s="1"/>
  <c r="AA337" i="5"/>
  <c r="AB337" i="5" s="1"/>
  <c r="AA336" i="5"/>
  <c r="AB336" i="5" s="1"/>
  <c r="AA335" i="5"/>
  <c r="AB335" i="5" s="1"/>
  <c r="AA334" i="5"/>
  <c r="AB334" i="5" s="1"/>
  <c r="AA333" i="5"/>
  <c r="AB333" i="5" s="1"/>
  <c r="AA332" i="5"/>
  <c r="AB332" i="5" s="1"/>
  <c r="AA331" i="5"/>
  <c r="AB331" i="5" s="1"/>
  <c r="AA330" i="5"/>
  <c r="AB330" i="5" s="1"/>
  <c r="AA329" i="5"/>
  <c r="AB329" i="5" s="1"/>
  <c r="AA328" i="5"/>
  <c r="AB328" i="5" s="1"/>
  <c r="AA327" i="5"/>
  <c r="AB327" i="5" s="1"/>
  <c r="AA326" i="5"/>
  <c r="AB326" i="5" s="1"/>
  <c r="AA325" i="5"/>
  <c r="AB325" i="5" s="1"/>
  <c r="AA324" i="5"/>
  <c r="AB324" i="5" s="1"/>
  <c r="AA323" i="5"/>
  <c r="AB323" i="5" s="1"/>
  <c r="AA322" i="5"/>
  <c r="AB322" i="5" s="1"/>
  <c r="AA321" i="5"/>
  <c r="AB321" i="5" s="1"/>
  <c r="AA320" i="5"/>
  <c r="AB320" i="5" s="1"/>
  <c r="AA319" i="5"/>
  <c r="AB319" i="5" s="1"/>
  <c r="AA318" i="5"/>
  <c r="AB318" i="5" s="1"/>
  <c r="AA317" i="5"/>
  <c r="AB317" i="5" s="1"/>
  <c r="AA316" i="5"/>
  <c r="AB316" i="5" s="1"/>
  <c r="AA315" i="5"/>
  <c r="AB315" i="5" s="1"/>
  <c r="AA314" i="5"/>
  <c r="AB314" i="5" s="1"/>
  <c r="AA313" i="5"/>
  <c r="AB313" i="5" s="1"/>
  <c r="AA312" i="5"/>
  <c r="AB312" i="5" s="1"/>
  <c r="AA311" i="5"/>
  <c r="AB311" i="5" s="1"/>
  <c r="AA310" i="5"/>
  <c r="AB310" i="5" s="1"/>
  <c r="AA309" i="5"/>
  <c r="AB309" i="5" s="1"/>
  <c r="AA308" i="5"/>
  <c r="AB308" i="5" s="1"/>
  <c r="AA307" i="5"/>
  <c r="AB307" i="5" s="1"/>
  <c r="AA306" i="5"/>
  <c r="AB306" i="5" s="1"/>
  <c r="AA305" i="5"/>
  <c r="AB305" i="5" s="1"/>
  <c r="AA304" i="5"/>
  <c r="AB304" i="5" s="1"/>
  <c r="AA303" i="5"/>
  <c r="AB303" i="5" s="1"/>
  <c r="AA302" i="5"/>
  <c r="AB302" i="5" s="1"/>
  <c r="AA301" i="5"/>
  <c r="AB301" i="5" s="1"/>
  <c r="AA300" i="5"/>
  <c r="AB300" i="5" s="1"/>
  <c r="AA299" i="5"/>
  <c r="AB299" i="5" s="1"/>
  <c r="AA298" i="5"/>
  <c r="AB298" i="5" s="1"/>
  <c r="AA297" i="5"/>
  <c r="AB297" i="5" s="1"/>
  <c r="AA296" i="5"/>
  <c r="AB296" i="5" s="1"/>
  <c r="AA295" i="5"/>
  <c r="AB295" i="5" s="1"/>
  <c r="AA294" i="5"/>
  <c r="AB294" i="5" s="1"/>
  <c r="AA293" i="5"/>
  <c r="AB293" i="5" s="1"/>
  <c r="AA292" i="5"/>
  <c r="AB292" i="5" s="1"/>
  <c r="AA291" i="5"/>
  <c r="AB291" i="5" s="1"/>
  <c r="AA290" i="5"/>
  <c r="AB290" i="5" s="1"/>
  <c r="AA289" i="5"/>
  <c r="AB289" i="5" s="1"/>
  <c r="AA288" i="5"/>
  <c r="AB288" i="5" s="1"/>
  <c r="AA287" i="5"/>
  <c r="AB287" i="5" s="1"/>
  <c r="AA286" i="5"/>
  <c r="AB286" i="5" s="1"/>
  <c r="AA285" i="5"/>
  <c r="AB285" i="5" s="1"/>
  <c r="AA284" i="5"/>
  <c r="AB284" i="5" s="1"/>
  <c r="AA283" i="5"/>
  <c r="AB283" i="5" s="1"/>
  <c r="AA282" i="5"/>
  <c r="AB282" i="5" s="1"/>
  <c r="AA281" i="5"/>
  <c r="AB281" i="5" s="1"/>
  <c r="AA280" i="5"/>
  <c r="AB280" i="5" s="1"/>
  <c r="AA279" i="5"/>
  <c r="AB279" i="5" s="1"/>
  <c r="AA278" i="5"/>
  <c r="AB278" i="5" s="1"/>
  <c r="AA277" i="5"/>
  <c r="AB277" i="5" s="1"/>
  <c r="AA276" i="5"/>
  <c r="AB276" i="5" s="1"/>
  <c r="AA275" i="5"/>
  <c r="AB275" i="5" s="1"/>
  <c r="AA274" i="5"/>
  <c r="AB274" i="5" s="1"/>
  <c r="AA273" i="5"/>
  <c r="AB273" i="5" s="1"/>
  <c r="AA272" i="5"/>
  <c r="AB272" i="5" s="1"/>
  <c r="AA271" i="5"/>
  <c r="AB271" i="5" s="1"/>
  <c r="AA270" i="5"/>
  <c r="AB270" i="5" s="1"/>
  <c r="AA269" i="5"/>
  <c r="AB269" i="5" s="1"/>
  <c r="AA268" i="5"/>
  <c r="AB268" i="5" s="1"/>
  <c r="AA267" i="5"/>
  <c r="AB267" i="5" s="1"/>
  <c r="AA266" i="5"/>
  <c r="AB266" i="5" s="1"/>
  <c r="AA265" i="5"/>
  <c r="AB265" i="5" s="1"/>
  <c r="AA264" i="5"/>
  <c r="AB264" i="5" s="1"/>
  <c r="AA263" i="5"/>
  <c r="AB263" i="5" s="1"/>
  <c r="AA262" i="5"/>
  <c r="AB262" i="5" s="1"/>
  <c r="AA261" i="5"/>
  <c r="AB261" i="5" s="1"/>
  <c r="AA260" i="5"/>
  <c r="AB260" i="5" s="1"/>
  <c r="AA259" i="5"/>
  <c r="AB259" i="5" s="1"/>
  <c r="AA258" i="5"/>
  <c r="AB258" i="5" s="1"/>
  <c r="AA257" i="5"/>
  <c r="AB257" i="5" s="1"/>
  <c r="AA256" i="5"/>
  <c r="AB256" i="5" s="1"/>
  <c r="AA255" i="5"/>
  <c r="AB255" i="5" s="1"/>
  <c r="AA254" i="5"/>
  <c r="AB254" i="5" s="1"/>
  <c r="AA253" i="5"/>
  <c r="AB253" i="5" s="1"/>
  <c r="AA252" i="5"/>
  <c r="AB252" i="5" s="1"/>
  <c r="AA251" i="5"/>
  <c r="AB251" i="5" s="1"/>
  <c r="AA250" i="5"/>
  <c r="AB250" i="5" s="1"/>
  <c r="AA249" i="5"/>
  <c r="AB249" i="5" s="1"/>
  <c r="AA248" i="5"/>
  <c r="AB248" i="5" s="1"/>
  <c r="AA247" i="5"/>
  <c r="AB247" i="5" s="1"/>
  <c r="AA246" i="5"/>
  <c r="AB246" i="5" s="1"/>
  <c r="AA245" i="5"/>
  <c r="AB245" i="5" s="1"/>
  <c r="AA244" i="5"/>
  <c r="AB244" i="5" s="1"/>
  <c r="AA243" i="5"/>
  <c r="AB243" i="5" s="1"/>
  <c r="AA242" i="5"/>
  <c r="AB242" i="5" s="1"/>
  <c r="AA241" i="5"/>
  <c r="AB241" i="5" s="1"/>
  <c r="AA240" i="5"/>
  <c r="AB240" i="5" s="1"/>
  <c r="AA239" i="5"/>
  <c r="AB239" i="5" s="1"/>
  <c r="AA238" i="5"/>
  <c r="AB238" i="5" s="1"/>
  <c r="AA237" i="5"/>
  <c r="AB237" i="5" s="1"/>
  <c r="AA236" i="5"/>
  <c r="AB236" i="5" s="1"/>
  <c r="AA235" i="5"/>
  <c r="AB235" i="5" s="1"/>
  <c r="AA234" i="5"/>
  <c r="AB234" i="5" s="1"/>
  <c r="AA233" i="5"/>
  <c r="AB233" i="5" s="1"/>
  <c r="AA232" i="5"/>
  <c r="AB232" i="5" s="1"/>
  <c r="AA231" i="5"/>
  <c r="AB231" i="5" s="1"/>
  <c r="AA230" i="5"/>
  <c r="AB230" i="5" s="1"/>
  <c r="AA229" i="5"/>
  <c r="AB229" i="5" s="1"/>
  <c r="AA228" i="5"/>
  <c r="AB228" i="5" s="1"/>
  <c r="AA227" i="5"/>
  <c r="AB227" i="5" s="1"/>
  <c r="AA226" i="5"/>
  <c r="AB226" i="5" s="1"/>
  <c r="AA225" i="5"/>
  <c r="AB225" i="5" s="1"/>
  <c r="AA224" i="5"/>
  <c r="AB224" i="5" s="1"/>
  <c r="AA223" i="5"/>
  <c r="AB223" i="5" s="1"/>
  <c r="AA222" i="5"/>
  <c r="AB222" i="5" s="1"/>
  <c r="AA221" i="5"/>
  <c r="AB221" i="5" s="1"/>
  <c r="AA220" i="5"/>
  <c r="AB220" i="5" s="1"/>
  <c r="AA219" i="5"/>
  <c r="AB219" i="5" s="1"/>
  <c r="AA218" i="5"/>
  <c r="AB218" i="5" s="1"/>
  <c r="AA217" i="5"/>
  <c r="AB217" i="5" s="1"/>
  <c r="AA216" i="5"/>
  <c r="AB216" i="5" s="1"/>
  <c r="AA215" i="5"/>
  <c r="AB215" i="5" s="1"/>
  <c r="AA214" i="5"/>
  <c r="AB214" i="5" s="1"/>
  <c r="AA213" i="5"/>
  <c r="AB213" i="5" s="1"/>
  <c r="AA212" i="5"/>
  <c r="AB212" i="5" s="1"/>
  <c r="AA211" i="5"/>
  <c r="AB211" i="5" s="1"/>
  <c r="AA210" i="5"/>
  <c r="AB210" i="5" s="1"/>
  <c r="AA209" i="5"/>
  <c r="AB209" i="5" s="1"/>
  <c r="AA208" i="5"/>
  <c r="AB208" i="5" s="1"/>
  <c r="AA207" i="5"/>
  <c r="AB207" i="5" s="1"/>
  <c r="AA206" i="5"/>
  <c r="AB206" i="5" s="1"/>
  <c r="AA205" i="5"/>
  <c r="AB205" i="5" s="1"/>
  <c r="AA204" i="5"/>
  <c r="AB204" i="5" s="1"/>
  <c r="AA203" i="5"/>
  <c r="AB203" i="5" s="1"/>
  <c r="AA202" i="5"/>
  <c r="AB202" i="5" s="1"/>
  <c r="AA201" i="5"/>
  <c r="AB201" i="5" s="1"/>
  <c r="AA200" i="5"/>
  <c r="AB200" i="5" s="1"/>
  <c r="AA199" i="5"/>
  <c r="AB199" i="5" s="1"/>
  <c r="AA198" i="5"/>
  <c r="AB198" i="5" s="1"/>
  <c r="AA197" i="5"/>
  <c r="AB197" i="5" s="1"/>
  <c r="AA196" i="5"/>
  <c r="AB196" i="5" s="1"/>
  <c r="AA195" i="5"/>
  <c r="AB195" i="5" s="1"/>
  <c r="AA194" i="5"/>
  <c r="AB194" i="5" s="1"/>
  <c r="AA193" i="5"/>
  <c r="AB193" i="5" s="1"/>
  <c r="AA192" i="5"/>
  <c r="AB192" i="5" s="1"/>
  <c r="AA191" i="5"/>
  <c r="AB191" i="5" s="1"/>
  <c r="AA190" i="5"/>
  <c r="AB190" i="5" s="1"/>
  <c r="AA189" i="5"/>
  <c r="AB189" i="5" s="1"/>
  <c r="AA188" i="5"/>
  <c r="AB188" i="5" s="1"/>
  <c r="AA187" i="5"/>
  <c r="AB187" i="5" s="1"/>
  <c r="AA186" i="5"/>
  <c r="AB186" i="5" s="1"/>
  <c r="AA185" i="5"/>
  <c r="AB185" i="5" s="1"/>
  <c r="AA184" i="5"/>
  <c r="AB184" i="5" s="1"/>
  <c r="AA183" i="5"/>
  <c r="AB183" i="5" s="1"/>
  <c r="AA182" i="5"/>
  <c r="AB182" i="5" s="1"/>
  <c r="AA181" i="5"/>
  <c r="AB181" i="5" s="1"/>
  <c r="AA180" i="5"/>
  <c r="AB180" i="5" s="1"/>
  <c r="AA179" i="5"/>
  <c r="AB179" i="5" s="1"/>
  <c r="AA178" i="5"/>
  <c r="AB178" i="5" s="1"/>
  <c r="AA177" i="5"/>
  <c r="AB177" i="5" s="1"/>
  <c r="AA176" i="5"/>
  <c r="AB176" i="5" s="1"/>
  <c r="AA175" i="5"/>
  <c r="AB175" i="5" s="1"/>
  <c r="AA174" i="5"/>
  <c r="AB174" i="5" s="1"/>
  <c r="AA173" i="5"/>
  <c r="AB173" i="5" s="1"/>
  <c r="AA172" i="5"/>
  <c r="AB172" i="5" s="1"/>
  <c r="AA171" i="5"/>
  <c r="AB171" i="5" s="1"/>
  <c r="AA170" i="5"/>
  <c r="AB170" i="5" s="1"/>
  <c r="AA169" i="5"/>
  <c r="AB169" i="5" s="1"/>
  <c r="AA168" i="5"/>
  <c r="AB168" i="5" s="1"/>
  <c r="AA167" i="5"/>
  <c r="AB167" i="5" s="1"/>
  <c r="AA166" i="5"/>
  <c r="AB166" i="5" s="1"/>
  <c r="AA165" i="5"/>
  <c r="AB165" i="5" s="1"/>
  <c r="AA164" i="5"/>
  <c r="AB164" i="5" s="1"/>
  <c r="AA163" i="5"/>
  <c r="AB163" i="5" s="1"/>
  <c r="AA162" i="5"/>
  <c r="AB162" i="5" s="1"/>
  <c r="AA161" i="5"/>
  <c r="AB161" i="5" s="1"/>
  <c r="AA160" i="5"/>
  <c r="AB160" i="5" s="1"/>
  <c r="AA159" i="5"/>
  <c r="AB159" i="5" s="1"/>
  <c r="AA158" i="5"/>
  <c r="AB158" i="5" s="1"/>
  <c r="AA157" i="5"/>
  <c r="AB157" i="5" s="1"/>
  <c r="AA156" i="5"/>
  <c r="AB156" i="5" s="1"/>
  <c r="AA155" i="5"/>
  <c r="AB155" i="5" s="1"/>
  <c r="AA154" i="5"/>
  <c r="AB154" i="5" s="1"/>
  <c r="AA153" i="5"/>
  <c r="AB153" i="5" s="1"/>
  <c r="AA152" i="5"/>
  <c r="AB152" i="5" s="1"/>
  <c r="AA151" i="5"/>
  <c r="AB151" i="5" s="1"/>
  <c r="AA150" i="5"/>
  <c r="AB150" i="5" s="1"/>
  <c r="AA149" i="5"/>
  <c r="AB149" i="5" s="1"/>
  <c r="AA148" i="5"/>
  <c r="AB148" i="5" s="1"/>
  <c r="AA147" i="5"/>
  <c r="AB147" i="5" s="1"/>
  <c r="AA146" i="5"/>
  <c r="AB146" i="5" s="1"/>
  <c r="AA145" i="5"/>
  <c r="AB145" i="5" s="1"/>
  <c r="AA144" i="5"/>
  <c r="AB144" i="5" s="1"/>
  <c r="AA143" i="5"/>
  <c r="AB143" i="5" s="1"/>
  <c r="AA142" i="5"/>
  <c r="AB142" i="5" s="1"/>
  <c r="AA141" i="5"/>
  <c r="AB141" i="5" s="1"/>
  <c r="AA140" i="5"/>
  <c r="AB140" i="5" s="1"/>
  <c r="AA139" i="5"/>
  <c r="AB139" i="5" s="1"/>
  <c r="AA138" i="5"/>
  <c r="AB138" i="5" s="1"/>
  <c r="AA137" i="5"/>
  <c r="AB137" i="5" s="1"/>
  <c r="AA136" i="5"/>
  <c r="AB136" i="5" s="1"/>
  <c r="AA135" i="5"/>
  <c r="AB135" i="5" s="1"/>
  <c r="AA134" i="5"/>
  <c r="AB134" i="5" s="1"/>
  <c r="AA133" i="5"/>
  <c r="AB133" i="5" s="1"/>
  <c r="AA132" i="5"/>
  <c r="AB132" i="5" s="1"/>
  <c r="AA131" i="5"/>
  <c r="AB131" i="5" s="1"/>
  <c r="AA130" i="5"/>
  <c r="AB130" i="5" s="1"/>
  <c r="AA129" i="5"/>
  <c r="AB129" i="5" s="1"/>
  <c r="AA128" i="5"/>
  <c r="AB128" i="5" s="1"/>
  <c r="AA127" i="5"/>
  <c r="AB127" i="5" s="1"/>
  <c r="AA126" i="5"/>
  <c r="AB126" i="5" s="1"/>
  <c r="AA125" i="5"/>
  <c r="AB125" i="5" s="1"/>
  <c r="AA124" i="5"/>
  <c r="AB124" i="5" s="1"/>
  <c r="AA123" i="5"/>
  <c r="AB123" i="5" s="1"/>
  <c r="AA122" i="5"/>
  <c r="AB122" i="5" s="1"/>
  <c r="AA121" i="5"/>
  <c r="AB121" i="5" s="1"/>
  <c r="AA120" i="5"/>
  <c r="AB120" i="5" s="1"/>
  <c r="AA119" i="5"/>
  <c r="AB119" i="5" s="1"/>
  <c r="AA118" i="5"/>
  <c r="AB118" i="5" s="1"/>
  <c r="AA117" i="5"/>
  <c r="AB117" i="5" s="1"/>
  <c r="AA116" i="5"/>
  <c r="AB116" i="5" s="1"/>
  <c r="AA115" i="5"/>
  <c r="AB115" i="5" s="1"/>
  <c r="AA114" i="5"/>
  <c r="AB114" i="5" s="1"/>
  <c r="AA113" i="5"/>
  <c r="AB113" i="5" s="1"/>
  <c r="AA112" i="5"/>
  <c r="AB112" i="5" s="1"/>
  <c r="AA111" i="5"/>
  <c r="AB111" i="5" s="1"/>
  <c r="AA110" i="5"/>
  <c r="AB110" i="5" s="1"/>
  <c r="AA109" i="5"/>
  <c r="AB109" i="5" s="1"/>
  <c r="AA108" i="5"/>
  <c r="AB108" i="5" s="1"/>
  <c r="AA107" i="5"/>
  <c r="AB107" i="5" s="1"/>
  <c r="AA106" i="5"/>
  <c r="AB106" i="5" s="1"/>
  <c r="AA105" i="5"/>
  <c r="AB105" i="5" s="1"/>
  <c r="AA104" i="5"/>
  <c r="AB104" i="5" s="1"/>
  <c r="AA103" i="5"/>
  <c r="AB103" i="5" s="1"/>
  <c r="AA102" i="5"/>
  <c r="AB102" i="5" s="1"/>
  <c r="AA101" i="5"/>
  <c r="AB101" i="5" s="1"/>
  <c r="AA100" i="5"/>
  <c r="AB100" i="5" s="1"/>
  <c r="AA99" i="5"/>
  <c r="AB99" i="5" s="1"/>
  <c r="AA98" i="5"/>
  <c r="AB98" i="5" s="1"/>
  <c r="AA97" i="5"/>
  <c r="AB97" i="5" s="1"/>
  <c r="AA96" i="5"/>
  <c r="AB96" i="5" s="1"/>
  <c r="AA95" i="5"/>
  <c r="AB95" i="5" s="1"/>
  <c r="AA94" i="5"/>
  <c r="AB94" i="5" s="1"/>
  <c r="AA93" i="5"/>
  <c r="AB93" i="5" s="1"/>
  <c r="AA92" i="5"/>
  <c r="AB92" i="5" s="1"/>
  <c r="AA91" i="5"/>
  <c r="AB91" i="5" s="1"/>
  <c r="AA90" i="5"/>
  <c r="AB90" i="5" s="1"/>
  <c r="AA89" i="5"/>
  <c r="AB89" i="5" s="1"/>
  <c r="AA88" i="5"/>
  <c r="AB88" i="5" s="1"/>
  <c r="AA87" i="5"/>
  <c r="AB87" i="5" s="1"/>
  <c r="AA86" i="5"/>
  <c r="AB86" i="5" s="1"/>
  <c r="AA85" i="5"/>
  <c r="AB85" i="5" s="1"/>
  <c r="AA84" i="5"/>
  <c r="AB84" i="5" s="1"/>
  <c r="AA83" i="5"/>
  <c r="AB83" i="5" s="1"/>
  <c r="AA82" i="5"/>
  <c r="AB82" i="5" s="1"/>
  <c r="AA81" i="5"/>
  <c r="AB81" i="5" s="1"/>
  <c r="AA80" i="5"/>
  <c r="AB80" i="5" s="1"/>
  <c r="AA79" i="5"/>
  <c r="AB79" i="5" s="1"/>
  <c r="AA78" i="5"/>
  <c r="AB78" i="5" s="1"/>
  <c r="AA77" i="5"/>
  <c r="AB77" i="5" s="1"/>
  <c r="AA76" i="5"/>
  <c r="AB76" i="5" s="1"/>
  <c r="AA75" i="5"/>
  <c r="AB75" i="5" s="1"/>
  <c r="AA74" i="5"/>
  <c r="AB74" i="5" s="1"/>
  <c r="AA73" i="5"/>
  <c r="AB73" i="5" s="1"/>
  <c r="AA72" i="5"/>
  <c r="AB72" i="5" s="1"/>
  <c r="AA71" i="5"/>
  <c r="AB71" i="5" s="1"/>
  <c r="AA70" i="5"/>
  <c r="AB70" i="5" s="1"/>
  <c r="AA69" i="5"/>
  <c r="AB69" i="5" s="1"/>
  <c r="AA68" i="5"/>
  <c r="AB68" i="5" s="1"/>
  <c r="AA67" i="5"/>
  <c r="AB67" i="5" s="1"/>
  <c r="AA66" i="5"/>
  <c r="AB66" i="5" s="1"/>
  <c r="AA65" i="5"/>
  <c r="AB65" i="5" s="1"/>
  <c r="AA64" i="5"/>
  <c r="AB64" i="5" s="1"/>
  <c r="AA63" i="5"/>
  <c r="AB63" i="5" s="1"/>
  <c r="AA62" i="5"/>
  <c r="AB62" i="5" s="1"/>
  <c r="AA61" i="5"/>
  <c r="AB61" i="5" s="1"/>
  <c r="AA60" i="5"/>
  <c r="AB60" i="5" s="1"/>
  <c r="AA59" i="5"/>
  <c r="AB59" i="5" s="1"/>
  <c r="AA58" i="5"/>
  <c r="AB58" i="5" s="1"/>
  <c r="AA57" i="5"/>
  <c r="AB57" i="5" s="1"/>
  <c r="AA56" i="5"/>
  <c r="AB56" i="5" s="1"/>
  <c r="AA55" i="5"/>
  <c r="AB55" i="5" s="1"/>
  <c r="AA54" i="5"/>
  <c r="AB54" i="5" s="1"/>
  <c r="AA53" i="5"/>
  <c r="AB53" i="5" s="1"/>
  <c r="AA52" i="5"/>
  <c r="AB52" i="5" s="1"/>
  <c r="AA51" i="5"/>
  <c r="AB51" i="5" s="1"/>
  <c r="AA50" i="5"/>
  <c r="AB50" i="5" s="1"/>
  <c r="AA49" i="5"/>
  <c r="AB49" i="5" s="1"/>
  <c r="AA48" i="5"/>
  <c r="AB48" i="5" s="1"/>
  <c r="AA47" i="5"/>
  <c r="AB47" i="5" s="1"/>
  <c r="AA46" i="5"/>
  <c r="AB46" i="5" s="1"/>
  <c r="AA45" i="5"/>
  <c r="AB45" i="5" s="1"/>
  <c r="AA44" i="5"/>
  <c r="AB44" i="5" s="1"/>
  <c r="AA43" i="5"/>
  <c r="AB43" i="5" s="1"/>
  <c r="AA42" i="5"/>
  <c r="AB42" i="5" s="1"/>
  <c r="AA41" i="5"/>
  <c r="AB41" i="5" s="1"/>
  <c r="AA40" i="5"/>
  <c r="AB40" i="5" s="1"/>
  <c r="AA39" i="5"/>
  <c r="AB39" i="5" s="1"/>
  <c r="AA38" i="5"/>
  <c r="AB38" i="5" s="1"/>
  <c r="AA37" i="5"/>
  <c r="AB37" i="5" s="1"/>
  <c r="AA36" i="5"/>
  <c r="AB36" i="5" s="1"/>
  <c r="AA35" i="5"/>
  <c r="AB35" i="5" s="1"/>
  <c r="AA34" i="5"/>
  <c r="AB34" i="5" s="1"/>
  <c r="AA33" i="5"/>
  <c r="AB33" i="5" s="1"/>
  <c r="AA32" i="5"/>
  <c r="AB32" i="5" s="1"/>
  <c r="AA31" i="5"/>
  <c r="AB31" i="5" s="1"/>
  <c r="AA30" i="5"/>
  <c r="AB30" i="5" s="1"/>
  <c r="AA29" i="5"/>
  <c r="AB29" i="5" s="1"/>
  <c r="AA28" i="5"/>
  <c r="AB28" i="5" s="1"/>
  <c r="AA27" i="5"/>
  <c r="AB27" i="5" s="1"/>
  <c r="AA26" i="5"/>
  <c r="AB26" i="5" s="1"/>
  <c r="AA25" i="5"/>
  <c r="AB25" i="5" s="1"/>
  <c r="AA24" i="5"/>
  <c r="AB24" i="5" s="1"/>
  <c r="AA23" i="5"/>
  <c r="AB23" i="5" s="1"/>
  <c r="AA22" i="5"/>
  <c r="AB22" i="5" s="1"/>
  <c r="AA21" i="5"/>
  <c r="AB21" i="5" s="1"/>
  <c r="AA20" i="5"/>
  <c r="AB20" i="5" s="1"/>
  <c r="AA19" i="5"/>
  <c r="AB19" i="5" s="1"/>
  <c r="AA18" i="5"/>
  <c r="AB18" i="5" s="1"/>
  <c r="AA17" i="5"/>
  <c r="AB17" i="5" s="1"/>
  <c r="AA16" i="5"/>
  <c r="AB16" i="5" s="1"/>
  <c r="AA15" i="5"/>
  <c r="AB15" i="5" s="1"/>
  <c r="AA14" i="5"/>
  <c r="AB14" i="5" s="1"/>
  <c r="AA13" i="5"/>
  <c r="AB13" i="5" s="1"/>
  <c r="AA12" i="5"/>
  <c r="AB12" i="5" s="1"/>
  <c r="AA11" i="5"/>
  <c r="AB11" i="5" s="1"/>
  <c r="AA10" i="5"/>
  <c r="AB10" i="5" s="1"/>
  <c r="AA9" i="5"/>
  <c r="AB9" i="5" s="1"/>
  <c r="AA8" i="5"/>
  <c r="AB8" i="5" s="1"/>
  <c r="AA7" i="5"/>
  <c r="AB7" i="5" s="1"/>
  <c r="AA6" i="5"/>
  <c r="AB6" i="5" s="1"/>
  <c r="AA5" i="5"/>
  <c r="AB5" i="5" s="1"/>
  <c r="AA4" i="5"/>
  <c r="AB4" i="5" s="1"/>
  <c r="AA3" i="5"/>
  <c r="AB3" i="5" s="1"/>
  <c r="AA2" i="5"/>
  <c r="AB2" i="5" s="1"/>
  <c r="M28" i="5" a="1"/>
  <c r="M28" i="5" s="1"/>
  <c r="M7" i="5" a="1"/>
  <c r="M7" i="5" s="1"/>
  <c r="M5" i="5" a="1"/>
  <c r="M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<sst xmlns="http://schemas.openxmlformats.org/spreadsheetml/2006/main" count="2610" uniqueCount="833">
  <si>
    <t>Tabela de Produtos da Cafeteria</t>
  </si>
  <si>
    <t>ID_Produto</t>
  </si>
  <si>
    <t>Tipo_de_Cafe</t>
  </si>
  <si>
    <t>Tamanho</t>
  </si>
  <si>
    <t>Valor_Unitario</t>
  </si>
  <si>
    <t>Quantidade</t>
  </si>
  <si>
    <t>Ara</t>
  </si>
  <si>
    <t>G</t>
  </si>
  <si>
    <t>Lib</t>
  </si>
  <si>
    <t>M</t>
  </si>
  <si>
    <t>Rob</t>
  </si>
  <si>
    <t>P</t>
  </si>
  <si>
    <t>Falidos e Quebrados LTDA.</t>
  </si>
  <si>
    <t>Funcionário</t>
  </si>
  <si>
    <t>Produto</t>
  </si>
  <si>
    <t>Vendas</t>
  </si>
  <si>
    <t>Resultado</t>
  </si>
  <si>
    <t>Abrilina</t>
  </si>
  <si>
    <t>Mouse</t>
  </si>
  <si>
    <t>Cheropita</t>
  </si>
  <si>
    <t>Teclado</t>
  </si>
  <si>
    <t>Aldegunda</t>
  </si>
  <si>
    <t>Monitor</t>
  </si>
  <si>
    <t>Arquibaldo</t>
  </si>
  <si>
    <t>Gabinete</t>
  </si>
  <si>
    <t>Clarisbadeu</t>
  </si>
  <si>
    <t>Disquete</t>
  </si>
  <si>
    <t>Fredolino</t>
  </si>
  <si>
    <t>Impressora</t>
  </si>
  <si>
    <t>Notas Escolares</t>
  </si>
  <si>
    <t>RA</t>
  </si>
  <si>
    <t>Nome de Aluno</t>
  </si>
  <si>
    <t>Nota 1 Trimestre</t>
  </si>
  <si>
    <t>Nota 2 trimestre</t>
  </si>
  <si>
    <t>Nota 3 trimestre</t>
  </si>
  <si>
    <t>Média Final</t>
  </si>
  <si>
    <t>Astro</t>
  </si>
  <si>
    <t>Celeste</t>
  </si>
  <si>
    <t>Elvira</t>
  </si>
  <si>
    <t>Homer</t>
  </si>
  <si>
    <t>Chevrolet da Silva</t>
  </si>
  <si>
    <t>Recrutamento para vaga de emprego</t>
  </si>
  <si>
    <t>Nome</t>
  </si>
  <si>
    <t>Idade</t>
  </si>
  <si>
    <t>Ensino Médio</t>
  </si>
  <si>
    <t>Curso técnico</t>
  </si>
  <si>
    <t>Anos de experiência na área</t>
  </si>
  <si>
    <t>Situação</t>
  </si>
  <si>
    <t>Alfa Romeu Julia</t>
  </si>
  <si>
    <t>Não</t>
  </si>
  <si>
    <t>Sim</t>
  </si>
  <si>
    <t>Fusclaudia de Oliveira</t>
  </si>
  <si>
    <t>Unotavio dos Santos</t>
  </si>
  <si>
    <t>Nissan Silvia</t>
  </si>
  <si>
    <t>Beta Ferrari Enzo</t>
  </si>
  <si>
    <t>Requisitos para ser contratado</t>
  </si>
  <si>
    <t>Ter idade maior ou igual a 18 anos</t>
  </si>
  <si>
    <t>Ter ensino médio completo</t>
  </si>
  <si>
    <t>Ter curso de vendedor</t>
  </si>
  <si>
    <t>Ter no mínimo 3 anos de experiência na área</t>
  </si>
  <si>
    <t>Status</t>
  </si>
  <si>
    <t>Status correto</t>
  </si>
  <si>
    <t>Nome corrigido</t>
  </si>
  <si>
    <t>nome</t>
  </si>
  <si>
    <t>cpf</t>
  </si>
  <si>
    <t>cpf2</t>
  </si>
  <si>
    <t>idade</t>
  </si>
  <si>
    <t>idade2</t>
  </si>
  <si>
    <t>Data_nascimento</t>
  </si>
  <si>
    <t>cidade</t>
  </si>
  <si>
    <t>Cidade correta</t>
  </si>
  <si>
    <t>regiao</t>
  </si>
  <si>
    <t>Regiao correta</t>
  </si>
  <si>
    <t>renda_mensal</t>
  </si>
  <si>
    <t xml:space="preserve">Renda mensal 2 </t>
  </si>
  <si>
    <t>credito_tomado</t>
  </si>
  <si>
    <t>Credito tomado2</t>
  </si>
  <si>
    <t>flag_inadimplente</t>
  </si>
  <si>
    <t>Flag inadimplente2</t>
  </si>
  <si>
    <t>qtde_batalhas</t>
  </si>
  <si>
    <t>Qtde batalhas2</t>
  </si>
  <si>
    <t>flag_inadimplente3</t>
  </si>
  <si>
    <t>valor_solicitado</t>
  </si>
  <si>
    <t>valor sctd2</t>
  </si>
  <si>
    <t>nivel_risco5</t>
  </si>
  <si>
    <t>Analise risco</t>
  </si>
  <si>
    <t>Analise_credito</t>
  </si>
  <si>
    <t>Liberacao de credito</t>
  </si>
  <si>
    <t>Ativo</t>
  </si>
  <si>
    <t>Ellaria Baelish</t>
  </si>
  <si>
    <t>000.000.336-00</t>
  </si>
  <si>
    <t>Ninho da Águia</t>
  </si>
  <si>
    <t>Vale</t>
  </si>
  <si>
    <t>Inativo</t>
  </si>
  <si>
    <t>Stannis Lannister</t>
  </si>
  <si>
    <t>Ponta Tempestade</t>
  </si>
  <si>
    <t>Terras da Tempestade</t>
  </si>
  <si>
    <t>11000 moedas</t>
  </si>
  <si>
    <t>Asha Hornwood</t>
  </si>
  <si>
    <t>000.000.363-00</t>
  </si>
  <si>
    <t>Pedra do Dragão</t>
  </si>
  <si>
    <t>Terras da Coroa</t>
  </si>
  <si>
    <t>21500 moedas</t>
  </si>
  <si>
    <t>N/A</t>
  </si>
  <si>
    <t>Jorah Dondarrion</t>
  </si>
  <si>
    <t>000.000.210-00</t>
  </si>
  <si>
    <t>Pyke | Ilhas de Ferro</t>
  </si>
  <si>
    <t>10400 moedas</t>
  </si>
  <si>
    <t>Jojen Florent</t>
  </si>
  <si>
    <t>000.000.321-00</t>
  </si>
  <si>
    <t>vale</t>
  </si>
  <si>
    <t>Olenna Baelish</t>
  </si>
  <si>
    <t>000.000.191-00</t>
  </si>
  <si>
    <t>Lannisporto</t>
  </si>
  <si>
    <t>3500 moedas</t>
  </si>
  <si>
    <t>Brienne Manderly</t>
  </si>
  <si>
    <t>000.000.076-00</t>
  </si>
  <si>
    <t>Oeste</t>
  </si>
  <si>
    <t>8600 moedas</t>
  </si>
  <si>
    <t>yara targaryen</t>
  </si>
  <si>
    <t>000.000.059-00</t>
  </si>
  <si>
    <t>Pyke</t>
  </si>
  <si>
    <t>Ilhas De Ferro</t>
  </si>
  <si>
    <t>18200 moedas</t>
  </si>
  <si>
    <t>31000 moedas</t>
  </si>
  <si>
    <t>Margaery Tarly</t>
  </si>
  <si>
    <t>000.000.274-00</t>
  </si>
  <si>
    <t>ilhas de ferro</t>
  </si>
  <si>
    <t>Viserys Seaworth</t>
  </si>
  <si>
    <t>000.000.024-00</t>
  </si>
  <si>
    <t>Meereen</t>
  </si>
  <si>
    <t>Essos</t>
  </si>
  <si>
    <t>23000 moedas</t>
  </si>
  <si>
    <t>Tormund  Cerwyn</t>
  </si>
  <si>
    <t>000.000.039-00</t>
  </si>
  <si>
    <t>catelyn westerling</t>
  </si>
  <si>
    <t>Braavos</t>
  </si>
  <si>
    <t>19500 moedas</t>
  </si>
  <si>
    <t>Robb Baratheon</t>
  </si>
  <si>
    <t>000.000.365-00</t>
  </si>
  <si>
    <t>Asha Tallhart</t>
  </si>
  <si>
    <t>Ilhas de Ferro</t>
  </si>
  <si>
    <t>17600 moedas</t>
  </si>
  <si>
    <t>Missandei Tarly</t>
  </si>
  <si>
    <t>TERRAS DA TEMPESTADE</t>
  </si>
  <si>
    <t>Jeor Mallister</t>
  </si>
  <si>
    <t>000.000.162-00</t>
  </si>
  <si>
    <t>Correrrio</t>
  </si>
  <si>
    <t>Terras Fluviais</t>
  </si>
  <si>
    <t>Eddard Crakehall</t>
  </si>
  <si>
    <t>Castelo Negro</t>
  </si>
  <si>
    <t>Norte</t>
  </si>
  <si>
    <t>5500 moedas</t>
  </si>
  <si>
    <t>Podrick Swyft</t>
  </si>
  <si>
    <t>000.000.090-00</t>
  </si>
  <si>
    <t>TERRAS FLUVIAIS</t>
  </si>
  <si>
    <t>Podrick Dayne</t>
  </si>
  <si>
    <t>Vilavelha</t>
  </si>
  <si>
    <t>Campina</t>
  </si>
  <si>
    <t>Ellaria Seaworth</t>
  </si>
  <si>
    <t>000.000.125-00</t>
  </si>
  <si>
    <t>Melisandre Clegane</t>
  </si>
  <si>
    <t>000.000.231-00</t>
  </si>
  <si>
    <t>Ilha dos Ursos</t>
  </si>
  <si>
    <t>NORTE</t>
  </si>
  <si>
    <t>Robert Karstark</t>
  </si>
  <si>
    <t>000.000.184-00</t>
  </si>
  <si>
    <t>rhaegar stark</t>
  </si>
  <si>
    <t>000.000.119-00</t>
  </si>
  <si>
    <t>Loras Greyjoy</t>
  </si>
  <si>
    <t>000.000.362-00</t>
  </si>
  <si>
    <t>Fosso Cailin</t>
  </si>
  <si>
    <t>Jorah Hightower</t>
  </si>
  <si>
    <t>000.000.346-00</t>
  </si>
  <si>
    <t>TERRAS DA COROA</t>
  </si>
  <si>
    <t>1 batalhas</t>
  </si>
  <si>
    <t>Loras Clegane</t>
  </si>
  <si>
    <t>000.000.287-00</t>
  </si>
  <si>
    <t>Harrenhal</t>
  </si>
  <si>
    <t>Winterfell</t>
  </si>
  <si>
    <t>samwell yronwood</t>
  </si>
  <si>
    <t>000.000.124-00</t>
  </si>
  <si>
    <t>Jardim de Cima</t>
  </si>
  <si>
    <t>Ativoo</t>
  </si>
  <si>
    <t>Catelyn Yronwood</t>
  </si>
  <si>
    <t>000.000.226-00</t>
  </si>
  <si>
    <t>norte</t>
  </si>
  <si>
    <t>Brienne Reed</t>
  </si>
  <si>
    <t>000.000.306-00</t>
  </si>
  <si>
    <t>Rhaegar Umber</t>
  </si>
  <si>
    <t>000.000.247-00</t>
  </si>
  <si>
    <t>sim</t>
  </si>
  <si>
    <t>Roose Manderly</t>
  </si>
  <si>
    <t>Dorne</t>
  </si>
  <si>
    <t>sem renda</t>
  </si>
  <si>
    <t>Jeor Florent</t>
  </si>
  <si>
    <t>000.000.249-00</t>
  </si>
  <si>
    <t>terras da tempestade</t>
  </si>
  <si>
    <t>Bran Yronwood</t>
  </si>
  <si>
    <t>000.000.057-00</t>
  </si>
  <si>
    <t>Nao</t>
  </si>
  <si>
    <t>BRONN ARRYN</t>
  </si>
  <si>
    <t>000.000.016-00</t>
  </si>
  <si>
    <t>oeste</t>
  </si>
  <si>
    <t>Shae Clegane</t>
  </si>
  <si>
    <t>000.000.205-00</t>
  </si>
  <si>
    <t>Ramsay Hornwood</t>
  </si>
  <si>
    <t>000.000.005-00</t>
  </si>
  <si>
    <t>23400 moedas</t>
  </si>
  <si>
    <t>MEERA PAYNE</t>
  </si>
  <si>
    <t>000.000.131-00</t>
  </si>
  <si>
    <t>DORNE</t>
  </si>
  <si>
    <t>MELISANDRE BARATHEON</t>
  </si>
  <si>
    <t>000.000.364-00</t>
  </si>
  <si>
    <t>27 batalhas</t>
  </si>
  <si>
    <t>Podrick Targaryen</t>
  </si>
  <si>
    <t>000.000.050-00</t>
  </si>
  <si>
    <t>29900 moedas</t>
  </si>
  <si>
    <t>Margaery Manderly</t>
  </si>
  <si>
    <t>000.000.222-00</t>
  </si>
  <si>
    <t>Daenerys Seaworth</t>
  </si>
  <si>
    <t>000.000.341-00</t>
  </si>
  <si>
    <t>CAMPINA</t>
  </si>
  <si>
    <t>000.000.140-00</t>
  </si>
  <si>
    <t>Fosso Cailin | Norte</t>
  </si>
  <si>
    <t>Jorah Redwyne</t>
  </si>
  <si>
    <t>Monte Chifre</t>
  </si>
  <si>
    <t>campina</t>
  </si>
  <si>
    <t>Margaery  Hornwood</t>
  </si>
  <si>
    <t>Arya Redwyne</t>
  </si>
  <si>
    <t>000.000.333-00</t>
  </si>
  <si>
    <t>3800 moedas</t>
  </si>
  <si>
    <t>VARYS BRACKEN</t>
  </si>
  <si>
    <t>000.000.215-00</t>
  </si>
  <si>
    <t>Porto Real</t>
  </si>
  <si>
    <t>2000 moedas</t>
  </si>
  <si>
    <t>Brienne Royce</t>
  </si>
  <si>
    <t>23500 moedas</t>
  </si>
  <si>
    <t>Rickon Redwyne</t>
  </si>
  <si>
    <t>Tormund Karstark</t>
  </si>
  <si>
    <t>000.000.284-00</t>
  </si>
  <si>
    <t>Bran Dayne</t>
  </si>
  <si>
    <t>000.000.288-00</t>
  </si>
  <si>
    <t>4500 moedas</t>
  </si>
  <si>
    <t>000.000.294-00</t>
  </si>
  <si>
    <t>Aegon Frey</t>
  </si>
  <si>
    <t>000.000.338-00</t>
  </si>
  <si>
    <t>11100 moedas</t>
  </si>
  <si>
    <t>Daenerys Snow</t>
  </si>
  <si>
    <t>Dorne | Dorne</t>
  </si>
  <si>
    <t>Asha Baratheon</t>
  </si>
  <si>
    <t>000.000.195-00</t>
  </si>
  <si>
    <t>Rickon Crakehall</t>
  </si>
  <si>
    <t>000.000.066-00</t>
  </si>
  <si>
    <t>Atalaia da �gua Cinzenta</t>
  </si>
  <si>
    <t>gargalo</t>
  </si>
  <si>
    <t>Eddard Mallister</t>
  </si>
  <si>
    <t>000.000.309-00</t>
  </si>
  <si>
    <t>GARGALO</t>
  </si>
  <si>
    <t>Daario Clegane</t>
  </si>
  <si>
    <t>000.000.270-00</t>
  </si>
  <si>
    <t>38 batalhas</t>
  </si>
  <si>
    <t>Ellaria Mallister</t>
  </si>
  <si>
    <t>000.000.194-00</t>
  </si>
  <si>
    <t>Stannis  Cerwyn</t>
  </si>
  <si>
    <t>ELLARIA TARLY</t>
  </si>
  <si>
    <t>000.000.026-00</t>
  </si>
  <si>
    <t>ESSOS</t>
  </si>
  <si>
    <t>Daario Tyrell</t>
  </si>
  <si>
    <t>000.000.251-00</t>
  </si>
  <si>
    <t>Daario Marbrand</t>
  </si>
  <si>
    <t>000.000.014-00</t>
  </si>
  <si>
    <t>46 anos</t>
  </si>
  <si>
    <t>Thoros Tarth</t>
  </si>
  <si>
    <t>ILHAS DE FERRO</t>
  </si>
  <si>
    <t>Arya Marbrand</t>
  </si>
  <si>
    <t>000.000.133-00</t>
  </si>
  <si>
    <t>Davos Tyrell</t>
  </si>
  <si>
    <t>28 batalhas</t>
  </si>
  <si>
    <t>Lyanna Florent</t>
  </si>
  <si>
    <t>Varys Bolton</t>
  </si>
  <si>
    <t>Shae Seaworth</t>
  </si>
  <si>
    <t>000.000.030-00</t>
  </si>
  <si>
    <t>essos</t>
  </si>
  <si>
    <t>Jojen Reed</t>
  </si>
  <si>
    <t>000.000.136-00</t>
  </si>
  <si>
    <t>20000 moedas</t>
  </si>
  <si>
    <t>Podrick Blackwood</t>
  </si>
  <si>
    <t>000.000.135-00</t>
  </si>
  <si>
    <t>Renly Mallister</t>
  </si>
  <si>
    <t>000.000.372-00</t>
  </si>
  <si>
    <t>Cersei Clegane</t>
  </si>
  <si>
    <t>000.000.323-00</t>
  </si>
  <si>
    <t>BERIC CRAKEHALL</t>
  </si>
  <si>
    <t>000.000.067-00</t>
  </si>
  <si>
    <t>Ellaria Bracken</t>
  </si>
  <si>
    <t>000.000.138-00</t>
  </si>
  <si>
    <t>Ellaria  Reed</t>
  </si>
  <si>
    <t>000.000.311-00</t>
  </si>
  <si>
    <t>Daenerys Tallhart</t>
  </si>
  <si>
    <t>000.000.092-00</t>
  </si>
  <si>
    <t>Lyanna Marbrand</t>
  </si>
  <si>
    <t>000.000.283-00</t>
  </si>
  <si>
    <t>22000 moedas</t>
  </si>
  <si>
    <t>Ramsay Dondarrion</t>
  </si>
  <si>
    <t>000.000.054-00</t>
  </si>
  <si>
    <t>dorne</t>
  </si>
  <si>
    <t>Thoros  Baelish</t>
  </si>
  <si>
    <t>000.000.011-00</t>
  </si>
  <si>
    <t>Melisandre Blackwood</t>
  </si>
  <si>
    <t>000.000.051-00</t>
  </si>
  <si>
    <t>Yara Baelish</t>
  </si>
  <si>
    <t>Solar do Entardecer</t>
  </si>
  <si>
    <t>Terras Da Tempestade</t>
  </si>
  <si>
    <t>Cersei Stark</t>
  </si>
  <si>
    <t>000.000.293-00</t>
  </si>
  <si>
    <t>Jon  Karstark</t>
  </si>
  <si>
    <t>000.000.139-00</t>
  </si>
  <si>
    <t>55 anos</t>
  </si>
  <si>
    <t>70500 moedas</t>
  </si>
  <si>
    <t>Yara Royce</t>
  </si>
  <si>
    <t>Jeor Lannister</t>
  </si>
  <si>
    <t>000.000.091-00</t>
  </si>
  <si>
    <t>10 batalhas</t>
  </si>
  <si>
    <t>bran florent</t>
  </si>
  <si>
    <t>000.000.218-00</t>
  </si>
  <si>
    <t>Jojen Redwyne</t>
  </si>
  <si>
    <t>000.000.334-00</t>
  </si>
  <si>
    <t>24 anos</t>
  </si>
  <si>
    <t>Bronn Mallister</t>
  </si>
  <si>
    <t>000.000.200-00</t>
  </si>
  <si>
    <t>76500 moedas</t>
  </si>
  <si>
    <t>Olenna Reed</t>
  </si>
  <si>
    <t>000.000.248-00</t>
  </si>
  <si>
    <t>Braavos | Essos</t>
  </si>
  <si>
    <t>Jon Hightower</t>
  </si>
  <si>
    <t>000.000.081-00</t>
  </si>
  <si>
    <t>renly dayne</t>
  </si>
  <si>
    <t>000.000.065-00</t>
  </si>
  <si>
    <t>Missandei Karstark</t>
  </si>
  <si>
    <t>000.000.044-00</t>
  </si>
  <si>
    <t>terras da coroa</t>
  </si>
  <si>
    <t>Catelyn Cerwyn</t>
  </si>
  <si>
    <t>000.000.308-00</t>
  </si>
  <si>
    <t>Margaery Dayne</t>
  </si>
  <si>
    <t>000.000.276-00</t>
  </si>
  <si>
    <t>Rickon Karstark</t>
  </si>
  <si>
    <t>000.000.088-00</t>
  </si>
  <si>
    <t>Jorah Seaworth</t>
  </si>
  <si>
    <t>28800 moedas</t>
  </si>
  <si>
    <t>Stannis Redwyne</t>
  </si>
  <si>
    <t>000.000.216-00</t>
  </si>
  <si>
    <t>Jardim de Cima | Campina</t>
  </si>
  <si>
    <t>3 batalhas</t>
  </si>
  <si>
    <t>000.000.277-00</t>
  </si>
  <si>
    <t>LORAS BAELISH</t>
  </si>
  <si>
    <t>000.000.217-00</t>
  </si>
  <si>
    <t>Viserys Florent</t>
  </si>
  <si>
    <t>000.000.129-00</t>
  </si>
  <si>
    <t>Jon Marbrand</t>
  </si>
  <si>
    <t>000.000.359-00</t>
  </si>
  <si>
    <t>Aegon Bracken</t>
  </si>
  <si>
    <t>000.000.244-00</t>
  </si>
  <si>
    <t>terras fluviais</t>
  </si>
  <si>
    <t>loras payne</t>
  </si>
  <si>
    <t>000.000.027-00</t>
  </si>
  <si>
    <t>Missandei  Tarly</t>
  </si>
  <si>
    <t>000.000.196-00</t>
  </si>
  <si>
    <t>24 batalhas</t>
  </si>
  <si>
    <t>Aegon Baelish</t>
  </si>
  <si>
    <t>Meereen | Essos</t>
  </si>
  <si>
    <t>MELISANDRE TARGARYEN</t>
  </si>
  <si>
    <t>000.000.170-00</t>
  </si>
  <si>
    <t>Loqueado</t>
  </si>
  <si>
    <t>Roose Cerwyn</t>
  </si>
  <si>
    <t>000.000.047-00</t>
  </si>
  <si>
    <t>Shae Frey</t>
  </si>
  <si>
    <t>61500 moedas</t>
  </si>
  <si>
    <t>Lyanna Swyft</t>
  </si>
  <si>
    <t>Rhaegar Targaryen</t>
  </si>
  <si>
    <t>000.000.342-00</t>
  </si>
  <si>
    <t>31 batalhas</t>
  </si>
  <si>
    <t>Varys Targaryen</t>
  </si>
  <si>
    <t>000.000.234-00</t>
  </si>
  <si>
    <t>Robb Stark</t>
  </si>
  <si>
    <t>000.000.228-00</t>
  </si>
  <si>
    <t>Gendry Hightower</t>
  </si>
  <si>
    <t>000.000.167-00</t>
  </si>
  <si>
    <t>Harrenhal | Terras Fluviais</t>
  </si>
  <si>
    <t>tormund glover</t>
  </si>
  <si>
    <t>000.000.087-00</t>
  </si>
  <si>
    <t>Tyrion Snow</t>
  </si>
  <si>
    <t>Beric  Umber</t>
  </si>
  <si>
    <t>Varys Florent</t>
  </si>
  <si>
    <t>Catelyn Umber</t>
  </si>
  <si>
    <t>Samwell Glover</t>
  </si>
  <si>
    <t>Thoros Clegane</t>
  </si>
  <si>
    <t>000.000.141-00</t>
  </si>
  <si>
    <t>THEON BARATHEON</t>
  </si>
  <si>
    <t>000.000.375-00</t>
  </si>
  <si>
    <t>22900 moedas</t>
  </si>
  <si>
    <t>SIM</t>
  </si>
  <si>
    <t>Melisandre  Baelish</t>
  </si>
  <si>
    <t>000.000.152-00</t>
  </si>
  <si>
    <t>25100 moedas</t>
  </si>
  <si>
    <t>Robert Yronwood</t>
  </si>
  <si>
    <t>000.000.075-00</t>
  </si>
  <si>
    <t>Meera Reed</t>
  </si>
  <si>
    <t>000.000.314-00</t>
  </si>
  <si>
    <t>tormund royce</t>
  </si>
  <si>
    <t>000.000.297-00</t>
  </si>
  <si>
    <t>Tyrion Karstark</t>
  </si>
  <si>
    <t>OESTE</t>
  </si>
  <si>
    <t>Missandei Florent</t>
  </si>
  <si>
    <t>000.000.282-00</t>
  </si>
  <si>
    <t>Varys  Stark</t>
  </si>
  <si>
    <t>Jeor Karstark</t>
  </si>
  <si>
    <t>000.000.310-00</t>
  </si>
  <si>
    <t>RENLY MORMONT</t>
  </si>
  <si>
    <t>000.000.376-00</t>
  </si>
  <si>
    <t>19 batalhas</t>
  </si>
  <si>
    <t>Eddard Royce</t>
  </si>
  <si>
    <t>000.000.181-00</t>
  </si>
  <si>
    <t>Terras Da Coroa</t>
  </si>
  <si>
    <t>16000 moedas</t>
  </si>
  <si>
    <t>Rhaegar Lannister</t>
  </si>
  <si>
    <t>Varys Blackwood</t>
  </si>
  <si>
    <t>000.000.373-00</t>
  </si>
  <si>
    <t>EDDARD WESTERLING</t>
  </si>
  <si>
    <t>000.000.094-00</t>
  </si>
  <si>
    <t>Varys  Blackwood</t>
  </si>
  <si>
    <t>41 batalhas</t>
  </si>
  <si>
    <t>Olenna Bracken</t>
  </si>
  <si>
    <t>000.000.225-00</t>
  </si>
  <si>
    <t>Aegon Marbrand</t>
  </si>
  <si>
    <t>Beric Tyrell</t>
  </si>
  <si>
    <t>000.000.242-00</t>
  </si>
  <si>
    <t>Asha Manderly</t>
  </si>
  <si>
    <t>000.000.357-00</t>
  </si>
  <si>
    <t>Ellaria Mormont</t>
  </si>
  <si>
    <t>000.000.157-00</t>
  </si>
  <si>
    <t>29 batalhas</t>
  </si>
  <si>
    <t>Grey Worm Baratheon</t>
  </si>
  <si>
    <t>000.000.221-00</t>
  </si>
  <si>
    <t>Ellaria Swyft</t>
  </si>
  <si>
    <t>000.000.115-00</t>
  </si>
  <si>
    <t>VALE</t>
  </si>
  <si>
    <t>Grey  Worm  Greyjoy</t>
  </si>
  <si>
    <t>000.000.182-00</t>
  </si>
  <si>
    <t>Jeor  Payne</t>
  </si>
  <si>
    <t>Bronn Royce</t>
  </si>
  <si>
    <t>Robert Hornwood</t>
  </si>
  <si>
    <t>000.000.259-00</t>
  </si>
  <si>
    <t>Asha Bolton</t>
  </si>
  <si>
    <t>Bronn Blackwood</t>
  </si>
  <si>
    <t>000.000.052-00</t>
  </si>
  <si>
    <t>Daario Arryn</t>
  </si>
  <si>
    <t>000.000.173-00</t>
  </si>
  <si>
    <t>Jeor Marbrand</t>
  </si>
  <si>
    <t>000.000.073-00</t>
  </si>
  <si>
    <t>Petyr Karstark</t>
  </si>
  <si>
    <t>Ramsay Stark</t>
  </si>
  <si>
    <t>000.000.169-00</t>
  </si>
  <si>
    <t>Thoros Karstark</t>
  </si>
  <si>
    <t>000.000.012-00</t>
  </si>
  <si>
    <t>Gargalo</t>
  </si>
  <si>
    <t>Ellaria Martell</t>
  </si>
  <si>
    <t>000.000.148-00</t>
  </si>
  <si>
    <t>Yara Payne</t>
  </si>
  <si>
    <t>000.000.250-00</t>
  </si>
  <si>
    <t>Viserys Baratheon</t>
  </si>
  <si>
    <t>000.000.186-00</t>
  </si>
  <si>
    <t>Jeor Clegane</t>
  </si>
  <si>
    <t>42000 moedas</t>
  </si>
  <si>
    <t>SANDOR WESTERLING</t>
  </si>
  <si>
    <t>30 batalhas</t>
  </si>
  <si>
    <t>Gilly Frey</t>
  </si>
  <si>
    <t>000.000.258-00</t>
  </si>
  <si>
    <t>Loras Bracken</t>
  </si>
  <si>
    <t>000.000.254-00</t>
  </si>
  <si>
    <t>Atalaia da �gua Cinzenta | Gargalo</t>
  </si>
  <si>
    <t>17500 moedas</t>
  </si>
  <si>
    <t>Varys Tallhart</t>
  </si>
  <si>
    <t>Roose Bracken</t>
  </si>
  <si>
    <t>Varys Arryn</t>
  </si>
  <si>
    <t>000.000.097-00</t>
  </si>
  <si>
    <t>Asha Redwyne</t>
  </si>
  <si>
    <t>Beric Tallhart</t>
  </si>
  <si>
    <t>000.000.291-00</t>
  </si>
  <si>
    <t>Margaery Cerwyn</t>
  </si>
  <si>
    <t>000.000.211-00</t>
  </si>
  <si>
    <t>5 batalhas</t>
  </si>
  <si>
    <t>Loras Frey</t>
  </si>
  <si>
    <t>000.000.017-00</t>
  </si>
  <si>
    <t>Bran Karstark</t>
  </si>
  <si>
    <t>000.000.241-00</t>
  </si>
  <si>
    <t>ROBERT CERWYN</t>
  </si>
  <si>
    <t>17800 moedas</t>
  </si>
  <si>
    <t>Thoros Yronwood</t>
  </si>
  <si>
    <t>000.000.201-00</t>
  </si>
  <si>
    <t>Bronn Umber</t>
  </si>
  <si>
    <t>000.000.177-00</t>
  </si>
  <si>
    <t>Brienne Dayne</t>
  </si>
  <si>
    <t>000.000.070-00</t>
  </si>
  <si>
    <t>Bronn Bolton</t>
  </si>
  <si>
    <t>000.000.143-00</t>
  </si>
  <si>
    <t>26800 moedas</t>
  </si>
  <si>
    <t>Rhaegar Hornwood</t>
  </si>
  <si>
    <t>000.000.178-00</t>
  </si>
  <si>
    <t>Meera Tarly</t>
  </si>
  <si>
    <t>000.000.326-00</t>
  </si>
  <si>
    <t>THOROS HORNWOOD</t>
  </si>
  <si>
    <t>000.000.245-00</t>
  </si>
  <si>
    <t>Jeor Martell</t>
  </si>
  <si>
    <t>000.000.061-00</t>
  </si>
  <si>
    <t>20100 moedas</t>
  </si>
  <si>
    <t>Lyanna Stark</t>
  </si>
  <si>
    <t>000.000.023-00</t>
  </si>
  <si>
    <t>Rhaegar Tallhart</t>
  </si>
  <si>
    <t>Petyr Greyjoy</t>
  </si>
  <si>
    <t>000.000.301-00</t>
  </si>
  <si>
    <t>Renly Redwyne</t>
  </si>
  <si>
    <t>000.000.045-00</t>
  </si>
  <si>
    <t>Asha Arryn</t>
  </si>
  <si>
    <t>000.000.122-00</t>
  </si>
  <si>
    <t>Podrick Florent</t>
  </si>
  <si>
    <t>000.000.354-00</t>
  </si>
  <si>
    <t>Daario Cerwyn</t>
  </si>
  <si>
    <t>Catelyn Tarly</t>
  </si>
  <si>
    <t>27 anos</t>
  </si>
  <si>
    <t>Rickon Lannister</t>
  </si>
  <si>
    <t>000.000.197-00</t>
  </si>
  <si>
    <t>40 batalhas</t>
  </si>
  <si>
    <t>Jorah Marbrand</t>
  </si>
  <si>
    <t>000.000.168-00</t>
  </si>
  <si>
    <t>Pedra do Dragão | Terras da Coroa</t>
  </si>
  <si>
    <t>Renly Seaworth</t>
  </si>
  <si>
    <t>robert mallister</t>
  </si>
  <si>
    <t>000.000.037-00</t>
  </si>
  <si>
    <t>Ramsay Dayne</t>
  </si>
  <si>
    <t>000.000.224-00</t>
  </si>
  <si>
    <t>BRIENNE KARSTARK</t>
  </si>
  <si>
    <t>000.000.031-00</t>
  </si>
  <si>
    <t>Tormund Greyjoy</t>
  </si>
  <si>
    <t>000.000.009-00</t>
  </si>
  <si>
    <t>Jaime Yronwood</t>
  </si>
  <si>
    <t>Thoros Payne</t>
  </si>
  <si>
    <t>000.000.006-00</t>
  </si>
  <si>
    <t>Correrrio | Terras Fluviais</t>
  </si>
  <si>
    <t>theon tarth</t>
  </si>
  <si>
    <t>000.000.289-00</t>
  </si>
  <si>
    <t>Stannis Seaworth</t>
  </si>
  <si>
    <t>000.000.316-00</t>
  </si>
  <si>
    <t>Grey Worm Dondarrion</t>
  </si>
  <si>
    <t>Olenna Arryn</t>
  </si>
  <si>
    <t>Tyrion Tyrell</t>
  </si>
  <si>
    <t>Robb Clegane</t>
  </si>
  <si>
    <t>000.000.304-00</t>
  </si>
  <si>
    <t>Bran Dondarrion</t>
  </si>
  <si>
    <t>Jeor Baelish</t>
  </si>
  <si>
    <t>000.000.332-00</t>
  </si>
  <si>
    <t>14300 moedas</t>
  </si>
  <si>
    <t>78000 moedas</t>
  </si>
  <si>
    <t>Jaime Dondarrion</t>
  </si>
  <si>
    <t>000.000.056-00</t>
  </si>
  <si>
    <t>20900 moedas</t>
  </si>
  <si>
    <t>Loras Manderly</t>
  </si>
  <si>
    <t>Monte Chifre | Campina</t>
  </si>
  <si>
    <t>18 batalhas</t>
  </si>
  <si>
    <t>Beric Seaworth</t>
  </si>
  <si>
    <t>000.000.025-00</t>
  </si>
  <si>
    <t>Lyanna Seaworth</t>
  </si>
  <si>
    <t>000.000.041-00</t>
  </si>
  <si>
    <t>Margaery Marbrand</t>
  </si>
  <si>
    <t>000.000.146-00</t>
  </si>
  <si>
    <t>Tormund Yronwood</t>
  </si>
  <si>
    <t>000.000.187-00</t>
  </si>
  <si>
    <t>Ramsay Tarly</t>
  </si>
  <si>
    <t>Shae Mormont</t>
  </si>
  <si>
    <t>000.000.114-00</t>
  </si>
  <si>
    <t>renly bolton</t>
  </si>
  <si>
    <t>000.000.303-00</t>
  </si>
  <si>
    <t>Grey Worm Hornwood</t>
  </si>
  <si>
    <t>000.000.322-00</t>
  </si>
  <si>
    <t>52000 moedas</t>
  </si>
  <si>
    <t>Rhaegar Dayne</t>
  </si>
  <si>
    <t>000.000.335-00</t>
  </si>
  <si>
    <t>BRAN BOLTON</t>
  </si>
  <si>
    <t>000.000.003-00</t>
  </si>
  <si>
    <t>Shae Tarly</t>
  </si>
  <si>
    <t>000.000.235-00</t>
  </si>
  <si>
    <t>000.000.307-00</t>
  </si>
  <si>
    <t>Melisandre Crakehall</t>
  </si>
  <si>
    <t>000.000.260-00</t>
  </si>
  <si>
    <t>45500 moedas</t>
  </si>
  <si>
    <t>Sandor Westerling</t>
  </si>
  <si>
    <t>000.000.008-00</t>
  </si>
  <si>
    <t>Petyr Snow</t>
  </si>
  <si>
    <t>Robert Tarth</t>
  </si>
  <si>
    <t>000.000.001-00</t>
  </si>
  <si>
    <t>Robb Greyjoy</t>
  </si>
  <si>
    <t>000.000.227-00</t>
  </si>
  <si>
    <t>Yara  Marbrand</t>
  </si>
  <si>
    <t>000.000.266-00</t>
  </si>
  <si>
    <t>Cersei  Marbrand</t>
  </si>
  <si>
    <t>000.000.158-00</t>
  </si>
  <si>
    <t>Melisandre Baratheon</t>
  </si>
  <si>
    <t>000.000.020-00</t>
  </si>
  <si>
    <t>Yara Tallhart</t>
  </si>
  <si>
    <t>Gilly Mormont</t>
  </si>
  <si>
    <t>000.000.220-00</t>
  </si>
  <si>
    <t>Brienne Dondarrion</t>
  </si>
  <si>
    <t>000.000.256-00</t>
  </si>
  <si>
    <t>Missandei Glover</t>
  </si>
  <si>
    <t>Bronn Manderly</t>
  </si>
  <si>
    <t>000.000.074-00</t>
  </si>
  <si>
    <t>Aegon Florent</t>
  </si>
  <si>
    <t>Daario  Dayne</t>
  </si>
  <si>
    <t>000.000.144-00</t>
  </si>
  <si>
    <t>32 anos</t>
  </si>
  <si>
    <t>Roose Dondarrion</t>
  </si>
  <si>
    <t>000.000.126-00</t>
  </si>
  <si>
    <t>Stannis Greyjoy</t>
  </si>
  <si>
    <t>000.000.236-00</t>
  </si>
  <si>
    <t>Thoros Greyjoy</t>
  </si>
  <si>
    <t>000.000.043-00</t>
  </si>
  <si>
    <t>60000 moedas</t>
  </si>
  <si>
    <t>Thoros Crakehall</t>
  </si>
  <si>
    <t>Viserys  Umber</t>
  </si>
  <si>
    <t>000.000.155-00</t>
  </si>
  <si>
    <t>18000 moedas</t>
  </si>
  <si>
    <t>Cersei Greyjoy</t>
  </si>
  <si>
    <t>000.000.265-00</t>
  </si>
  <si>
    <t>21300 moedas</t>
  </si>
  <si>
    <t>Tormund Tyrell</t>
  </si>
  <si>
    <t>000.000.378-00</t>
  </si>
  <si>
    <t>Bronn Stark</t>
  </si>
  <si>
    <t>000.000.313-00</t>
  </si>
  <si>
    <t>Tyrion Blackwood</t>
  </si>
  <si>
    <t>000.000.100-00</t>
  </si>
  <si>
    <t>Brienne Westerling</t>
  </si>
  <si>
    <t>000.000.379-00</t>
  </si>
  <si>
    <t>Beric Manderly</t>
  </si>
  <si>
    <t>Jojen Hornwood</t>
  </si>
  <si>
    <t>000.000.128-00</t>
  </si>
  <si>
    <t>theon baelish</t>
  </si>
  <si>
    <t>000.000.380-00</t>
  </si>
  <si>
    <t>Aegon Hornwood</t>
  </si>
  <si>
    <t>Ellaria Redwyne</t>
  </si>
  <si>
    <t>000.000.093-00</t>
  </si>
  <si>
    <t>missandei redwyne</t>
  </si>
  <si>
    <t>000.000.111-00</t>
  </si>
  <si>
    <t>000.000.007-00</t>
  </si>
  <si>
    <t>Eddard Payne</t>
  </si>
  <si>
    <t>9200 moedas</t>
  </si>
  <si>
    <t>CERSEI GLOVER</t>
  </si>
  <si>
    <t>000.000.324-00</t>
  </si>
  <si>
    <t>4 batalhas</t>
  </si>
  <si>
    <t>Theon Karstark</t>
  </si>
  <si>
    <t>000.000.296-00</t>
  </si>
  <si>
    <t>Jon Cerwyn</t>
  </si>
  <si>
    <t>000.000.112-00</t>
  </si>
  <si>
    <t>13 batalhas</t>
  </si>
  <si>
    <t>Jon Bolton</t>
  </si>
  <si>
    <t>000.000.130-00</t>
  </si>
  <si>
    <t>Robert Stark</t>
  </si>
  <si>
    <t>000.000.315-00</t>
  </si>
  <si>
    <t>Tyrion Lannister</t>
  </si>
  <si>
    <t>26 batalhas</t>
  </si>
  <si>
    <t>Eddard Greyjoy</t>
  </si>
  <si>
    <t>000.000.238-00</t>
  </si>
  <si>
    <t>000.000.374-00</t>
  </si>
  <si>
    <t>Gilly Marbrand</t>
  </si>
  <si>
    <t>Catelyn Lannister</t>
  </si>
  <si>
    <t>000.000.110-00</t>
  </si>
  <si>
    <t>Gendry Cerwyn</t>
  </si>
  <si>
    <t>000.000.153-00</t>
  </si>
  <si>
    <t>Lannisporto | Oeste</t>
  </si>
  <si>
    <t>Jon Dayne</t>
  </si>
  <si>
    <t>Renly Blackwood</t>
  </si>
  <si>
    <t>000.000.106-00</t>
  </si>
  <si>
    <t>Davos  Baratheon</t>
  </si>
  <si>
    <t>000.000.055-00</t>
  </si>
  <si>
    <t>Bronn Crakehall</t>
  </si>
  <si>
    <t>3600 moedas</t>
  </si>
  <si>
    <t>000.000.339-00</t>
  </si>
  <si>
    <t>Cersei Umber</t>
  </si>
  <si>
    <t>000.000.058-00</t>
  </si>
  <si>
    <t>petyr yronwood</t>
  </si>
  <si>
    <t>000.000.095-00</t>
  </si>
  <si>
    <t>Robert Westerling</t>
  </si>
  <si>
    <t>000.000.105-00</t>
  </si>
  <si>
    <t>27300 moedas</t>
  </si>
  <si>
    <t>Jon Tarth</t>
  </si>
  <si>
    <t>000.000.208-00</t>
  </si>
  <si>
    <t>Jaime Seaworth</t>
  </si>
  <si>
    <t>000.000.263-00</t>
  </si>
  <si>
    <t>Jorah  Tyrell</t>
  </si>
  <si>
    <t>000.000.229-00</t>
  </si>
  <si>
    <t>Eddard Stark</t>
  </si>
  <si>
    <t>000.000.015-00</t>
  </si>
  <si>
    <t>29700 moedas</t>
  </si>
  <si>
    <t>Lyanna Tarly</t>
  </si>
  <si>
    <t>000.000.232-00</t>
  </si>
  <si>
    <t>Cersei Tarth</t>
  </si>
  <si>
    <t>000.000.147-00</t>
  </si>
  <si>
    <t>74000 moedas</t>
  </si>
  <si>
    <t>Catelyn Mallister</t>
  </si>
  <si>
    <t>000.000.062-00</t>
  </si>
  <si>
    <t>Castelo Negro | Norte</t>
  </si>
  <si>
    <t>Brienne Mallister</t>
  </si>
  <si>
    <t>000.000.202-00</t>
  </si>
  <si>
    <t>Ilha dos Ursos | Norte</t>
  </si>
  <si>
    <t>Stannis Crakehall</t>
  </si>
  <si>
    <t>000.000.351-00</t>
  </si>
  <si>
    <t>Sansa Dondarrion</t>
  </si>
  <si>
    <t>000.000.101-00</t>
  </si>
  <si>
    <t>Beric  Karstark</t>
  </si>
  <si>
    <t>000.000.172-00</t>
  </si>
  <si>
    <t>Bran Umber</t>
  </si>
  <si>
    <t>000.000.104-00</t>
  </si>
  <si>
    <t>Davos Umber</t>
  </si>
  <si>
    <t>000.000.353-00</t>
  </si>
  <si>
    <t>6 batalhas</t>
  </si>
  <si>
    <t>Aegon Redwyne</t>
  </si>
  <si>
    <t>000.000.347-00</t>
  </si>
  <si>
    <t>Robert Mallister</t>
  </si>
  <si>
    <t>MARGAERY DONDARRION</t>
  </si>
  <si>
    <t>41 anos</t>
  </si>
  <si>
    <t>Roose Bolton</t>
  </si>
  <si>
    <t>Jon Hornwood</t>
  </si>
  <si>
    <t>Shae  Dayne</t>
  </si>
  <si>
    <t>000.000.312-00</t>
  </si>
  <si>
    <t>Petyr Swyft</t>
  </si>
  <si>
    <t>000.000.275-00</t>
  </si>
  <si>
    <t>Jaime Bracken</t>
  </si>
  <si>
    <t>Rhaegar Mormont</t>
  </si>
  <si>
    <t>000.000.109-00</t>
  </si>
  <si>
    <t>Jorah Florent</t>
  </si>
  <si>
    <t>000.000.204-00</t>
  </si>
  <si>
    <t>Asha Blackwood</t>
  </si>
  <si>
    <t>000.000.085-00</t>
  </si>
  <si>
    <t>Gilly Swyft</t>
  </si>
  <si>
    <t>000.000.261-00</t>
  </si>
  <si>
    <t>Bran Frey</t>
  </si>
  <si>
    <t>000.000.189-00</t>
  </si>
  <si>
    <t>Rickon Targaryen</t>
  </si>
  <si>
    <t>000.000.298-00</t>
  </si>
  <si>
    <t>4000 moedas</t>
  </si>
  <si>
    <t>Lyanna Westerling</t>
  </si>
  <si>
    <t>000.000.004-00</t>
  </si>
  <si>
    <t>RENLY STARK</t>
  </si>
  <si>
    <t>olenna hornwood</t>
  </si>
  <si>
    <t>Aegon Blackwood</t>
  </si>
  <si>
    <t>000.000.118-00</t>
  </si>
  <si>
    <t>Brienne Glover</t>
  </si>
  <si>
    <t>000.000.355-00</t>
  </si>
  <si>
    <t>Ellaria Cerwyn</t>
  </si>
  <si>
    <t>000.000.019-00</t>
  </si>
  <si>
    <t>51 anos</t>
  </si>
  <si>
    <t>7 batalhas</t>
  </si>
  <si>
    <t>Loras Lannister</t>
  </si>
  <si>
    <t>000.000.302-00</t>
  </si>
  <si>
    <t>000.000.103-00</t>
  </si>
  <si>
    <t>Catelyn  Dayne</t>
  </si>
  <si>
    <t>000.000.213-00</t>
  </si>
  <si>
    <t>LYANNA TARTH</t>
  </si>
  <si>
    <t>000.000.345-00</t>
  </si>
  <si>
    <t>19900 moedas</t>
  </si>
  <si>
    <t>Varys Lannister</t>
  </si>
  <si>
    <t>000.000.367-00</t>
  </si>
  <si>
    <t>21600 moedas</t>
  </si>
  <si>
    <t>Ellaria Targaryen</t>
  </si>
  <si>
    <t>000.000.149-00</t>
  </si>
  <si>
    <t>000.000.010-00</t>
  </si>
  <si>
    <t>80000 moedas</t>
  </si>
  <si>
    <t>48500 moedas</t>
  </si>
  <si>
    <t>Bronn Baratheon</t>
  </si>
  <si>
    <t>Jojen Dayne</t>
  </si>
  <si>
    <t>000.000.199-00</t>
  </si>
  <si>
    <t>Sandor Clegane</t>
  </si>
  <si>
    <t>000.000.164-00</t>
  </si>
  <si>
    <t>Thoros Westerling</t>
  </si>
  <si>
    <t>Stannis Westerling</t>
  </si>
  <si>
    <t>000.000.071-00</t>
  </si>
  <si>
    <t>000.000.079-00</t>
  </si>
  <si>
    <t>Melisandre Cerwyn</t>
  </si>
  <si>
    <t>000.000.120-00</t>
  </si>
  <si>
    <t>6400 moedas</t>
  </si>
  <si>
    <t>Thoros  Frey</t>
  </si>
  <si>
    <t>000.000.113-00</t>
  </si>
  <si>
    <t>Gilly Glover</t>
  </si>
  <si>
    <t>Robb Reed</t>
  </si>
  <si>
    <t>000.000.246-00</t>
  </si>
  <si>
    <t>Petyr Mallister</t>
  </si>
  <si>
    <t>Rickon Frey</t>
  </si>
  <si>
    <t>000.000.013-00</t>
  </si>
  <si>
    <t>Loras  Tarth</t>
  </si>
  <si>
    <t>000.000.286-00</t>
  </si>
  <si>
    <t>Theon Frey</t>
  </si>
  <si>
    <t>000.000.123-00</t>
  </si>
  <si>
    <t>Renly Tallhart</t>
  </si>
  <si>
    <t>Yara Mallister</t>
  </si>
  <si>
    <t>000.000.134-00</t>
  </si>
  <si>
    <t>Grey Worm Targaryen</t>
  </si>
  <si>
    <t>000.000.060-00</t>
  </si>
  <si>
    <t>Sandor Dondarrion</t>
  </si>
  <si>
    <t>Robert Manderly</t>
  </si>
  <si>
    <t>Margaery Tyrell</t>
  </si>
  <si>
    <t>000.000.107-00</t>
  </si>
  <si>
    <t>DAARIO TARLY</t>
  </si>
  <si>
    <t>000.000.046-00</t>
  </si>
  <si>
    <t>Tyrion Clegane</t>
  </si>
  <si>
    <t>000.000.281-00</t>
  </si>
  <si>
    <t>11400 moedas</t>
  </si>
  <si>
    <t>Viserys Hightower</t>
  </si>
  <si>
    <t>000.000.080-00</t>
  </si>
  <si>
    <t>20800 moedas</t>
  </si>
  <si>
    <t>Aegon Umber</t>
  </si>
  <si>
    <t>000.000.356-00</t>
  </si>
  <si>
    <t>Melisandre Glover</t>
  </si>
  <si>
    <t>000.000.329-00</t>
  </si>
  <si>
    <t>Jon Baelish</t>
  </si>
  <si>
    <t>Bran Tarly</t>
  </si>
  <si>
    <t>000.000.269-00</t>
  </si>
  <si>
    <t>Eddard Dayne</t>
  </si>
  <si>
    <t>000.000.280-00</t>
  </si>
  <si>
    <t>29500 moedas</t>
  </si>
  <si>
    <t>Renly Bolton</t>
  </si>
  <si>
    <t>Rhaegar Payne</t>
  </si>
  <si>
    <t>000.000.253-00</t>
  </si>
  <si>
    <t>Bronn Dondarrion</t>
  </si>
  <si>
    <t>000.000.036-00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</si>
</sst>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"/>
    <numFmt numFmtId="165" formatCode="&quot;R$&quot;\ #,##0.00"/>
  </numFmts>
  <fonts count="10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sz val="11"/>
      <color rgb="FF831843"/>
      <name val="Carlito"/>
    </font>
    <font>
      <b/>
      <sz val="16"/>
      <color rgb="FFFFFFFF"/>
      <name val="Comic Sans MS"/>
    </font>
    <font>
      <b/>
      <sz val="12"/>
      <color rgb="FFFFFFFF"/>
      <name val="Comic Sans MS"/>
    </font>
    <font>
      <b/>
      <sz val="11"/>
      <color theme="0"/>
      <name val="Carlito"/>
    </font>
    <font>
      <sz val="11"/>
      <color theme="1"/>
      <name val="Carlito"/>
    </font>
    <font>
      <b/>
      <sz val="11"/>
      <color rgb="FFFFFFFF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CE7F3"/>
      </patternFill>
    </fill>
    <fill>
      <patternFill patternType="solid">
        <fgColor rgb="FFFFF7FB"/>
      </patternFill>
    </fill>
    <fill>
      <patternFill patternType="solid">
        <fgColor rgb="FFD9276E"/>
        <bgColor indexed="64"/>
      </patternFill>
    </fill>
    <fill>
      <patternFill patternType="solid">
        <fgColor rgb="FFFF85BC"/>
        <bgColor indexed="64"/>
      </patternFill>
    </fill>
    <fill>
      <patternFill patternType="solid">
        <fgColor rgb="FFFFD1E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1" xfId="0" applyNumberFormat="1" applyFont="1" applyFill="1" applyBorder="1"/>
    <xf numFmtId="0" fontId="0" fillId="3" borderId="1" xfId="0" applyNumberFormat="1" applyFont="1" applyFill="1" applyBorder="1"/>
    <xf numFmtId="0" fontId="0" fillId="2" borderId="1" xfId="0" applyNumberFormat="1" applyFont="1" applyFill="1" applyBorder="1" applyAlignment="1">
      <alignment horizontal="center"/>
    </xf>
    <xf numFmtId="0" fontId="0" fillId="3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right"/>
    </xf>
    <xf numFmtId="0" fontId="0" fillId="3" borderId="1" xfId="0" applyNumberFormat="1" applyFont="1" applyFill="1" applyBorder="1" applyAlignment="1">
      <alignment horizontal="right"/>
    </xf>
    <xf numFmtId="164" fontId="0" fillId="2" borderId="1" xfId="0" applyNumberFormat="1" applyFont="1" applyFill="1" applyBorder="1" applyAlignment="1">
      <alignment horizontal="center"/>
    </xf>
    <xf numFmtId="164" fontId="0" fillId="3" borderId="1" xfId="0" applyNumberFormat="1" applyFont="1" applyFill="1" applyBorder="1" applyAlignment="1">
      <alignment horizontal="center"/>
    </xf>
    <xf numFmtId="165" fontId="0" fillId="2" borderId="1" xfId="0" applyNumberFormat="1" applyFont="1" applyFill="1" applyBorder="1" applyAlignment="1">
      <alignment horizontal="right"/>
    </xf>
    <xf numFmtId="165" fontId="0" fillId="3" borderId="1" xfId="0" applyNumberFormat="1" applyFont="1" applyFill="1" applyBorder="1" applyAlignment="1">
      <alignment horizontal="right"/>
    </xf>
    <xf numFmtId="0" fontId="2" fillId="5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8" fontId="0" fillId="0" borderId="0" xfId="0" applyNumberFormat="1"/>
    <xf numFmtId="3" fontId="0" fillId="0" borderId="0" xfId="0" applyNumberFormat="1"/>
    <xf numFmtId="49" fontId="0" fillId="0" borderId="0" xfId="0" applyNumberFormat="1"/>
    <xf numFmtId="0" fontId="0" fillId="0" borderId="0" xfId="0" applyNumberFormat="1"/>
    <xf numFmtId="165" fontId="0" fillId="0" borderId="0" xfId="0" applyNumberFormat="1"/>
    <xf numFmtId="0" fontId="0" fillId="6" borderId="0" xfId="0" applyFill="1"/>
    <xf numFmtId="49" fontId="0" fillId="6" borderId="0" xfId="0" applyNumberFormat="1" applyFill="1"/>
    <xf numFmtId="0" fontId="0" fillId="6" borderId="0" xfId="0" applyNumberFormat="1" applyFill="1"/>
    <xf numFmtId="14" fontId="0" fillId="6" borderId="0" xfId="0" applyNumberFormat="1" applyFill="1"/>
    <xf numFmtId="165" fontId="0" fillId="6" borderId="0" xfId="0" applyNumberFormat="1" applyFill="1"/>
    <xf numFmtId="0" fontId="7" fillId="4" borderId="2" xfId="0" applyFont="1" applyFill="1" applyBorder="1"/>
    <xf numFmtId="0" fontId="7" fillId="4" borderId="3" xfId="0" applyFont="1" applyFill="1" applyBorder="1"/>
    <xf numFmtId="49" fontId="7" fillId="4" borderId="3" xfId="0" applyNumberFormat="1" applyFont="1" applyFill="1" applyBorder="1"/>
    <xf numFmtId="0" fontId="7" fillId="4" borderId="3" xfId="0" applyNumberFormat="1" applyFont="1" applyFill="1" applyBorder="1"/>
    <xf numFmtId="14" fontId="7" fillId="4" borderId="3" xfId="0" applyNumberFormat="1" applyFont="1" applyFill="1" applyBorder="1"/>
    <xf numFmtId="165" fontId="7" fillId="4" borderId="3" xfId="0" applyNumberFormat="1" applyFont="1" applyFill="1" applyBorder="1"/>
    <xf numFmtId="0" fontId="7" fillId="4" borderId="4" xfId="0" applyFont="1" applyFill="1" applyBorder="1"/>
    <xf numFmtId="0" fontId="8" fillId="7" borderId="5" xfId="0" applyFont="1" applyFill="1" applyBorder="1"/>
    <xf numFmtId="0" fontId="8" fillId="7" borderId="6" xfId="0" applyFont="1" applyFill="1" applyBorder="1"/>
    <xf numFmtId="49" fontId="8" fillId="7" borderId="6" xfId="0" applyNumberFormat="1" applyFont="1" applyFill="1" applyBorder="1"/>
    <xf numFmtId="0" fontId="8" fillId="7" borderId="6" xfId="0" applyNumberFormat="1" applyFont="1" applyFill="1" applyBorder="1"/>
    <xf numFmtId="14" fontId="8" fillId="7" borderId="6" xfId="0" applyNumberFormat="1" applyFont="1" applyFill="1" applyBorder="1"/>
    <xf numFmtId="165" fontId="8" fillId="7" borderId="6" xfId="0" applyNumberFormat="1" applyFont="1" applyFill="1" applyBorder="1"/>
    <xf numFmtId="0" fontId="8" fillId="7" borderId="7" xfId="0" applyFont="1" applyFill="1" applyBorder="1"/>
    <xf numFmtId="0" fontId="2" fillId="4" borderId="0" xfId="0" applyFont="1" applyFill="1"/>
    <xf numFmtId="0" fontId="4" fillId="3" borderId="1" xfId="0" applyNumberFormat="1" applyFont="1" applyFill="1" applyBorder="1" applyAlignment="1"/>
    <xf numFmtId="0" fontId="5" fillId="4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 applyAlignment="1">
      <alignment horizontal="center"/>
    </xf>
    <xf numFmtId="0" fontId="4" fillId="2" borderId="1" xfId="0" applyNumberFormat="1" applyFont="1" applyFill="1" applyBorder="1" applyAlignment="1"/>
    <xf numFmtId="0" fontId="9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color theme="1" tint="0.14999847407452621"/>
      </font>
      <fill>
        <patternFill patternType="solid">
          <bgColor rgb="FFFFD1E6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1" tint="0.14999847407452621"/>
      </font>
      <fill>
        <patternFill patternType="solid">
          <bgColor rgb="FFFFF2F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881337"/>
      </font>
      <fill>
        <patternFill patternType="solid">
          <bgColor rgb="FFFDA4AF"/>
        </patternFill>
      </fill>
    </dxf>
    <dxf>
      <font>
        <b/>
        <color rgb="FF9D174D"/>
      </font>
      <fill>
        <patternFill patternType="solid">
          <bgColor rgb="FFF9A8D4"/>
        </patternFill>
      </fill>
    </dxf>
    <dxf>
      <font>
        <b/>
        <i val="0"/>
        <color rgb="FF881337"/>
      </font>
      <fill>
        <patternFill patternType="solid">
          <bgColor rgb="FFFDA4AF"/>
        </patternFill>
      </fill>
    </dxf>
    <dxf>
      <font>
        <b/>
        <color rgb="FF9D174D"/>
      </font>
      <fill>
        <patternFill patternType="solid">
          <bgColor rgb="FFF9A8D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FCE7F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5" formatCode="&quot;R$&quot;\ #,##0.00"/>
      <fill>
        <patternFill patternType="solid">
          <fgColor indexed="64"/>
          <bgColor rgb="FFFCE7F3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FCE7F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FCE7F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rgb="FFFCE7F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FF9CC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85BC"/>
      <color rgb="FFD9276E"/>
      <color rgb="FFFFF2FC"/>
      <color rgb="FFFFF0F9"/>
      <color rgb="FFFFF7FC"/>
      <color rgb="FFFFD1E6"/>
      <color rgb="FFFF9CC8"/>
      <color rgb="FFC724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F3B04F-9DCB-4171-B057-9B44A9E632AB}" name="Tabela3" displayName="Tabela3" ref="A2:E3" totalsRowShown="0" headerRowDxfId="11">
  <autoFilter ref="A2:E3" xr:uid="{ADF3B04F-9DCB-4171-B057-9B44A9E632AB}"/>
  <tableColumns count="5">
    <tableColumn id="1" xr3:uid="{C1884DAA-3F7B-4157-8BAD-08F96A30085A}" name="ID_Produto" dataDxfId="10"/>
    <tableColumn id="2" xr3:uid="{E630EF77-1900-4AA6-8970-63C462583EEE}" name="Tipo_de_Cafe" dataDxfId="9"/>
    <tableColumn id="3" xr3:uid="{7B034D2B-5FD2-4085-84F0-09476D6E4E10}" name="Tamanho" dataDxfId="8"/>
    <tableColumn id="4" xr3:uid="{D901402A-364E-4B02-85F2-3C897A7DC16E}" name="Valor_Unitario" dataDxfId="7"/>
    <tableColumn id="5" xr3:uid="{3102A41C-F6D4-40E7-B92C-BA6F41E4D0D2}" name="Quantidad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Normal="100" zoomScaleSheetLayoutView="100" workbookViewId="0">
      <selection activeCell="D10" sqref="D10"/>
    </sheetView>
  </sheetViews>
  <sheetFormatPr defaultColWidth="24.375" defaultRowHeight="15"/>
  <sheetData>
    <row r="1" spans="1:5" ht="30" customHeight="1">
      <c r="A1" s="39" t="s">
        <v>0</v>
      </c>
      <c r="B1" s="40"/>
      <c r="C1" s="40"/>
      <c r="D1" s="40"/>
      <c r="E1" s="40"/>
    </row>
    <row r="2" spans="1:5" ht="27.95" customHeight="1">
      <c r="A2" s="44" t="s">
        <v>1</v>
      </c>
      <c r="B2" s="44" t="s">
        <v>2</v>
      </c>
      <c r="C2" s="44" t="s">
        <v>3</v>
      </c>
      <c r="D2" s="44" t="s">
        <v>4</v>
      </c>
      <c r="E2" s="44" t="s">
        <v>5</v>
      </c>
    </row>
    <row r="3" spans="1:5" ht="14.25">
      <c r="A3" s="3">
        <v>2</v>
      </c>
      <c r="B3" s="1" t="s">
        <v>6</v>
      </c>
      <c r="C3" s="3" t="s">
        <v>7</v>
      </c>
      <c r="D3" s="9">
        <v>29.79</v>
      </c>
      <c r="E3" s="5">
        <v>20</v>
      </c>
    </row>
    <row r="4" spans="1:5" ht="14.25">
      <c r="A4" s="4">
        <v>1</v>
      </c>
      <c r="B4" s="2" t="s">
        <v>6</v>
      </c>
      <c r="C4" s="4" t="s">
        <v>7</v>
      </c>
      <c r="D4" s="10">
        <v>3.89</v>
      </c>
      <c r="E4" s="6">
        <v>10</v>
      </c>
    </row>
    <row r="5" spans="1:5" ht="14.25">
      <c r="A5" s="3">
        <v>3</v>
      </c>
      <c r="B5" s="1" t="s">
        <v>8</v>
      </c>
      <c r="C5" s="3" t="s">
        <v>9</v>
      </c>
      <c r="D5" s="9">
        <v>3.38</v>
      </c>
      <c r="E5" s="5">
        <v>30</v>
      </c>
    </row>
    <row r="6" spans="1:5" ht="14.25">
      <c r="A6" s="4">
        <v>4</v>
      </c>
      <c r="B6" s="2" t="s">
        <v>10</v>
      </c>
      <c r="C6" s="4" t="s">
        <v>11</v>
      </c>
      <c r="D6" s="10">
        <v>13.43</v>
      </c>
      <c r="E6" s="6">
        <v>40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zoomScaleNormal="100" zoomScaleSheetLayoutView="100" workbookViewId="0">
      <selection activeCell="D9" sqref="D9"/>
    </sheetView>
  </sheetViews>
  <sheetFormatPr defaultRowHeight="15"/>
  <cols>
    <col min="1" max="1" width="20" customWidth="1"/>
    <col min="2" max="2" width="18" customWidth="1"/>
    <col min="3" max="3" width="12" customWidth="1"/>
    <col min="4" max="4" width="16" customWidth="1"/>
  </cols>
  <sheetData>
    <row r="1" spans="1:4" ht="30" customHeight="1">
      <c r="A1" s="39" t="s">
        <v>12</v>
      </c>
      <c r="B1" s="40"/>
      <c r="C1" s="40"/>
      <c r="D1" s="40"/>
    </row>
    <row r="2" spans="1:4" ht="27.95" customHeight="1">
      <c r="A2" s="11" t="s">
        <v>13</v>
      </c>
      <c r="B2" s="11" t="s">
        <v>14</v>
      </c>
      <c r="C2" s="11" t="s">
        <v>15</v>
      </c>
      <c r="D2" s="11" t="s">
        <v>16</v>
      </c>
    </row>
    <row r="3" spans="1:4">
      <c r="A3" s="1" t="s">
        <v>17</v>
      </c>
      <c r="B3" s="1" t="s">
        <v>18</v>
      </c>
      <c r="C3" s="3">
        <v>8</v>
      </c>
      <c r="D3" s="3" t="str">
        <f>IF(C3&gt;5,"Ótimo",IF(C3&lt;5,"Péssimo","Regular"))</f>
        <v>Ótimo</v>
      </c>
    </row>
    <row r="4" spans="1:4">
      <c r="A4" s="2" t="s">
        <v>19</v>
      </c>
      <c r="B4" s="2" t="s">
        <v>20</v>
      </c>
      <c r="C4" s="4">
        <v>5</v>
      </c>
      <c r="D4" s="4" t="str">
        <f>IF(C4&gt;5,"Ótimo",IF(C4&lt;5,"Péssimo","Regular"))</f>
        <v>Regular</v>
      </c>
    </row>
    <row r="5" spans="1:4">
      <c r="A5" s="1" t="s">
        <v>21</v>
      </c>
      <c r="B5" s="1" t="s">
        <v>22</v>
      </c>
      <c r="C5" s="3">
        <v>9</v>
      </c>
      <c r="D5" s="3" t="str">
        <f>IF(C5&gt;5,"Ótimo",IF(C5&lt;5,"Péssimo","Regular"))</f>
        <v>Ótimo</v>
      </c>
    </row>
    <row r="6" spans="1:4">
      <c r="A6" s="2" t="s">
        <v>23</v>
      </c>
      <c r="B6" s="2" t="s">
        <v>24</v>
      </c>
      <c r="C6" s="4">
        <v>4</v>
      </c>
      <c r="D6" s="4" t="str">
        <f>IF(C6&gt;5,"Ótimo",IF(C6&lt;5,"Péssimo","Regular"))</f>
        <v>Péssimo</v>
      </c>
    </row>
    <row r="7" spans="1:4">
      <c r="A7" s="1" t="s">
        <v>25</v>
      </c>
      <c r="B7" s="1" t="s">
        <v>26</v>
      </c>
      <c r="C7" s="3">
        <v>6</v>
      </c>
      <c r="D7" s="3" t="str">
        <f>IF(C7&gt;5,"Ótimo",IF(C7&lt;5,"Péssimo","Regular"))</f>
        <v>Ótimo</v>
      </c>
    </row>
    <row r="8" spans="1:4">
      <c r="A8" s="2" t="s">
        <v>27</v>
      </c>
      <c r="B8" s="2" t="s">
        <v>28</v>
      </c>
      <c r="C8" s="4">
        <v>3</v>
      </c>
      <c r="D8" s="4" t="str">
        <f>IF(C8&gt;5,"Ótimo",IF(C8&lt;5,"Péssimo","Regular"))</f>
        <v>Péssimo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zoomScaleNormal="100" zoomScaleSheetLayoutView="100" workbookViewId="0">
      <selection activeCell="G12" sqref="G12"/>
    </sheetView>
  </sheetViews>
  <sheetFormatPr defaultRowHeight="15"/>
  <cols>
    <col min="1" max="1" width="10" customWidth="1"/>
    <col min="2" max="2" width="24" customWidth="1"/>
    <col min="3" max="5" width="18" customWidth="1"/>
    <col min="6" max="6" width="14" customWidth="1"/>
    <col min="7" max="7" width="16" customWidth="1"/>
  </cols>
  <sheetData>
    <row r="1" spans="1:7" ht="30" customHeight="1">
      <c r="A1" s="39" t="s">
        <v>29</v>
      </c>
      <c r="B1" s="40"/>
      <c r="C1" s="40"/>
      <c r="D1" s="40"/>
      <c r="E1" s="40"/>
      <c r="F1" s="40"/>
      <c r="G1" s="40"/>
    </row>
    <row r="2" spans="1:7" ht="27.95" customHeight="1">
      <c r="A2" s="11" t="s">
        <v>30</v>
      </c>
      <c r="B2" s="11" t="s">
        <v>31</v>
      </c>
      <c r="C2" s="11" t="s">
        <v>32</v>
      </c>
      <c r="D2" s="11" t="s">
        <v>33</v>
      </c>
      <c r="E2" s="11" t="s">
        <v>34</v>
      </c>
      <c r="F2" s="11" t="s">
        <v>35</v>
      </c>
      <c r="G2" s="11" t="s">
        <v>16</v>
      </c>
    </row>
    <row r="3" spans="1:7">
      <c r="A3" s="3">
        <v>2001</v>
      </c>
      <c r="B3" s="1" t="s">
        <v>36</v>
      </c>
      <c r="C3" s="3">
        <v>5</v>
      </c>
      <c r="D3" s="3">
        <v>6</v>
      </c>
      <c r="E3" s="3">
        <v>8</v>
      </c>
      <c r="F3" s="7">
        <f>AVERAGE(C3:E3)</f>
        <v>6.333333333333333</v>
      </c>
      <c r="G3" s="3" t="str">
        <f t="shared" ref="G3:G6" si="0">IF(F3&gt;=6,"Aprovado","Reprovado")</f>
        <v>Aprovado</v>
      </c>
    </row>
    <row r="4" spans="1:7">
      <c r="A4" s="4">
        <v>2002</v>
      </c>
      <c r="B4" s="2" t="s">
        <v>37</v>
      </c>
      <c r="C4" s="4">
        <v>10</v>
      </c>
      <c r="D4" s="4">
        <v>7</v>
      </c>
      <c r="E4" s="4">
        <v>8</v>
      </c>
      <c r="F4" s="8">
        <f>AVERAGE(C4:E4)</f>
        <v>8.3333333333333339</v>
      </c>
      <c r="G4" s="3" t="str">
        <f t="shared" si="0"/>
        <v>Aprovado</v>
      </c>
    </row>
    <row r="5" spans="1:7">
      <c r="A5" s="3">
        <v>2003</v>
      </c>
      <c r="B5" s="1" t="s">
        <v>38</v>
      </c>
      <c r="C5" s="3">
        <v>5</v>
      </c>
      <c r="D5" s="3">
        <v>2</v>
      </c>
      <c r="E5" s="3">
        <v>8</v>
      </c>
      <c r="F5" s="7">
        <f>AVERAGE(C5:E5)</f>
        <v>5</v>
      </c>
      <c r="G5" s="3" t="str">
        <f t="shared" si="0"/>
        <v>Reprovado</v>
      </c>
    </row>
    <row r="6" spans="1:7">
      <c r="A6" s="4">
        <v>2004</v>
      </c>
      <c r="B6" s="2" t="s">
        <v>39</v>
      </c>
      <c r="C6" s="4">
        <v>2</v>
      </c>
      <c r="D6" s="4">
        <v>1</v>
      </c>
      <c r="E6" s="4">
        <v>3</v>
      </c>
      <c r="F6" s="8">
        <f>AVERAGE(C6:E6)</f>
        <v>2</v>
      </c>
      <c r="G6" s="3" t="str">
        <f t="shared" si="0"/>
        <v>Reprovado</v>
      </c>
    </row>
    <row r="7" spans="1:7">
      <c r="A7" s="3">
        <v>2005</v>
      </c>
      <c r="B7" s="1" t="s">
        <v>40</v>
      </c>
      <c r="C7" s="3">
        <v>4</v>
      </c>
      <c r="D7" s="3">
        <v>7</v>
      </c>
      <c r="E7" s="3">
        <v>8</v>
      </c>
      <c r="F7" s="7">
        <f>AVERAGE(C7:E7)</f>
        <v>6.333333333333333</v>
      </c>
      <c r="G7" s="3" t="str">
        <f>IF(F7&gt;=6,"Aprovado","Reprovado")</f>
        <v>Aprovado</v>
      </c>
    </row>
  </sheetData>
  <mergeCells count="1">
    <mergeCell ref="A1:G1"/>
  </mergeCells>
  <conditionalFormatting sqref="G3:G7">
    <cfRule type="expression" dxfId="5" priority="3">
      <formula>G3="Aprovado"</formula>
    </cfRule>
    <cfRule type="expression" dxfId="4" priority="4">
      <formula>G3="Reprovado"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zoomScaleNormal="100" zoomScaleSheetLayoutView="100" workbookViewId="0">
      <selection activeCell="F3" sqref="F3"/>
    </sheetView>
  </sheetViews>
  <sheetFormatPr defaultRowHeight="15"/>
  <cols>
    <col min="1" max="1" width="26" customWidth="1"/>
    <col min="2" max="2" width="10" customWidth="1"/>
    <col min="3" max="4" width="17" customWidth="1"/>
    <col min="5" max="5" width="25" customWidth="1"/>
    <col min="6" max="6" width="16" customWidth="1"/>
  </cols>
  <sheetData>
    <row r="1" spans="1:6" ht="30" customHeight="1">
      <c r="A1" s="39" t="s">
        <v>41</v>
      </c>
      <c r="B1" s="40"/>
      <c r="C1" s="40"/>
      <c r="D1" s="40"/>
      <c r="E1" s="40"/>
      <c r="F1" s="40"/>
    </row>
    <row r="2" spans="1:6" ht="27.95" customHeight="1">
      <c r="A2" s="11" t="s">
        <v>42</v>
      </c>
      <c r="B2" s="11" t="s">
        <v>43</v>
      </c>
      <c r="C2" s="11" t="s">
        <v>44</v>
      </c>
      <c r="D2" s="11" t="s">
        <v>45</v>
      </c>
      <c r="E2" s="11" t="s">
        <v>46</v>
      </c>
      <c r="F2" s="11" t="s">
        <v>47</v>
      </c>
    </row>
    <row r="3" spans="1:6">
      <c r="A3" s="1" t="s">
        <v>48</v>
      </c>
      <c r="B3" s="3">
        <v>17</v>
      </c>
      <c r="C3" s="3" t="s">
        <v>49</v>
      </c>
      <c r="D3" s="3" t="s">
        <v>50</v>
      </c>
      <c r="E3" s="3">
        <v>1</v>
      </c>
      <c r="F3" s="3" t="str">
        <f>IF(AND(B3&gt;=18,C3="Sim",D3="Sim",E3&gt;=3),"Apto",IF(OR(B3&lt;18,C3&lt;&gt;"Sim",D3&lt;&gt;"Sim",E3&lt;3),"Não apto",""))</f>
        <v>Não apto</v>
      </c>
    </row>
    <row r="4" spans="1:6">
      <c r="A4" s="2" t="s">
        <v>51</v>
      </c>
      <c r="B4" s="4">
        <v>24</v>
      </c>
      <c r="C4" s="4" t="s">
        <v>50</v>
      </c>
      <c r="D4" s="4" t="s">
        <v>50</v>
      </c>
      <c r="E4" s="4">
        <v>3</v>
      </c>
      <c r="F4" s="4" t="str">
        <f>IF(AND(B4&gt;=18,C4="Sim",D4="Sim",E4&gt;=3),"Apto",IF(OR(B4&lt;18,C4&lt;&gt;"Sim",D4&lt;&gt;"Sim",E4&lt;3),"Não apto",""))</f>
        <v>Apto</v>
      </c>
    </row>
    <row r="5" spans="1:6">
      <c r="A5" s="1" t="s">
        <v>52</v>
      </c>
      <c r="B5" s="3">
        <v>28</v>
      </c>
      <c r="C5" s="3" t="s">
        <v>50</v>
      </c>
      <c r="D5" s="3" t="s">
        <v>50</v>
      </c>
      <c r="E5" s="3">
        <v>4</v>
      </c>
      <c r="F5" s="3" t="str">
        <f>IF(AND(B5&gt;=18,C5="Sim",D5="Sim",E5&gt;=3),"Apto",IF(OR(B5&lt;18,C5&lt;&gt;"Sim",D5&lt;&gt;"Sim",E5&lt;3),"Não apto",""))</f>
        <v>Apto</v>
      </c>
    </row>
    <row r="6" spans="1:6">
      <c r="A6" s="2" t="s">
        <v>53</v>
      </c>
      <c r="B6" s="4">
        <v>18</v>
      </c>
      <c r="C6" s="4" t="s">
        <v>50</v>
      </c>
      <c r="D6" s="4" t="s">
        <v>49</v>
      </c>
      <c r="E6" s="4">
        <v>1</v>
      </c>
      <c r="F6" s="4" t="str">
        <f>IF(AND(B6&gt;=18,C6="Sim",D6="Sim",E6&gt;=3),"Apto",IF(OR(B6&lt;18,C6&lt;&gt;"Sim",D6&lt;&gt;"Sim",E6&lt;3),"Não apto",""))</f>
        <v>Não apto</v>
      </c>
    </row>
    <row r="7" spans="1:6">
      <c r="A7" s="1" t="s">
        <v>54</v>
      </c>
      <c r="B7" s="3">
        <v>22</v>
      </c>
      <c r="C7" s="3" t="s">
        <v>50</v>
      </c>
      <c r="D7" s="3" t="s">
        <v>50</v>
      </c>
      <c r="E7" s="3">
        <v>2</v>
      </c>
      <c r="F7" s="3" t="str">
        <f>IF(AND(B7&gt;=18,C7="Sim",D7="Sim",E7&gt;=3),"Apto",IF(OR(B7&lt;18,C7&lt;&gt;"Sim",D7&lt;&gt;"Sim",E7&lt;3),"Não apto",""))</f>
        <v>Não apto</v>
      </c>
    </row>
    <row r="11" spans="1:6" ht="24.95" customHeight="1">
      <c r="A11" s="41" t="s">
        <v>55</v>
      </c>
      <c r="B11" s="42"/>
      <c r="C11" s="42"/>
    </row>
    <row r="12" spans="1:6">
      <c r="A12" s="43" t="s">
        <v>56</v>
      </c>
      <c r="B12" s="43"/>
      <c r="C12" s="43"/>
    </row>
    <row r="13" spans="1:6">
      <c r="A13" s="38" t="s">
        <v>57</v>
      </c>
      <c r="B13" s="38"/>
      <c r="C13" s="38"/>
    </row>
    <row r="14" spans="1:6">
      <c r="A14" s="43" t="s">
        <v>58</v>
      </c>
      <c r="B14" s="43"/>
      <c r="C14" s="43"/>
    </row>
    <row r="15" spans="1:6">
      <c r="A15" s="38" t="s">
        <v>59</v>
      </c>
      <c r="B15" s="38"/>
      <c r="C15" s="38"/>
    </row>
  </sheetData>
  <mergeCells count="6">
    <mergeCell ref="A15:C15"/>
    <mergeCell ref="A1:F1"/>
    <mergeCell ref="A11:C11"/>
    <mergeCell ref="A12:C12"/>
    <mergeCell ref="A13:C13"/>
    <mergeCell ref="A14:C14"/>
  </mergeCells>
  <conditionalFormatting sqref="F3:F7">
    <cfRule type="expression" dxfId="3" priority="1">
      <formula>F3="Apto"</formula>
    </cfRule>
    <cfRule type="expression" dxfId="2" priority="2">
      <formula>F3="Não apto"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36F6-84B0-4AD1-B9FD-9335EA3C0CE7}">
  <dimension ref="A1:AB369"/>
  <sheetViews>
    <sheetView topLeftCell="T1" workbookViewId="0">
      <selection activeCell="W6" sqref="W6"/>
    </sheetView>
  </sheetViews>
  <sheetFormatPr defaultColWidth="20.125" defaultRowHeight="14.25"/>
  <cols>
    <col min="4" max="4" width="20.125" style="15"/>
    <col min="5" max="6" width="20.125" style="16"/>
    <col min="9" max="9" width="20.125" style="12"/>
    <col min="17" max="17" width="20.125" style="17"/>
    <col min="22" max="22" width="0" hidden="1" customWidth="1"/>
  </cols>
  <sheetData>
    <row r="1" spans="1:28" ht="15">
      <c r="A1" s="37" t="s">
        <v>60</v>
      </c>
      <c r="B1" s="23" t="s">
        <v>61</v>
      </c>
      <c r="C1" s="24" t="s">
        <v>62</v>
      </c>
      <c r="D1" s="25" t="s">
        <v>63</v>
      </c>
      <c r="E1" s="26" t="s">
        <v>64</v>
      </c>
      <c r="F1" s="26" t="s">
        <v>65</v>
      </c>
      <c r="G1" s="24" t="s">
        <v>66</v>
      </c>
      <c r="H1" s="24" t="s">
        <v>67</v>
      </c>
      <c r="I1" s="27" t="s">
        <v>68</v>
      </c>
      <c r="J1" s="24" t="s">
        <v>69</v>
      </c>
      <c r="K1" s="24" t="s">
        <v>70</v>
      </c>
      <c r="L1" s="24" t="s">
        <v>71</v>
      </c>
      <c r="M1" s="24" t="s">
        <v>72</v>
      </c>
      <c r="N1" s="24" t="s">
        <v>73</v>
      </c>
      <c r="O1" s="24" t="s">
        <v>74</v>
      </c>
      <c r="P1" s="24" t="s">
        <v>75</v>
      </c>
      <c r="Q1" s="28" t="s">
        <v>76</v>
      </c>
      <c r="R1" s="24" t="s">
        <v>77</v>
      </c>
      <c r="S1" s="24" t="s">
        <v>78</v>
      </c>
      <c r="T1" s="24" t="s">
        <v>79</v>
      </c>
      <c r="U1" s="24" t="s">
        <v>80</v>
      </c>
      <c r="V1" s="24" t="s">
        <v>81</v>
      </c>
      <c r="W1" s="24" t="s">
        <v>82</v>
      </c>
      <c r="X1" s="24" t="s">
        <v>83</v>
      </c>
      <c r="Y1" s="24" t="s">
        <v>84</v>
      </c>
      <c r="Z1" s="24" t="s">
        <v>85</v>
      </c>
      <c r="AA1" s="24" t="s">
        <v>86</v>
      </c>
      <c r="AB1" s="29" t="s">
        <v>87</v>
      </c>
    </row>
    <row r="2" spans="1:28">
      <c r="A2" t="s">
        <v>88</v>
      </c>
      <c r="B2" s="30" t="str">
        <f>IF(A2="","Não informado",IF(OR(A2="Ativoo",A2="ATIVO",A2="ativo"),"Ativo",IF(OR(A2="Loqueado",A2="Bloqueado"),"Bloqueado",PROPER(A2))))</f>
        <v>Ativo</v>
      </c>
      <c r="C2" s="31" t="str">
        <f>PROPER(D2)</f>
        <v>Ellaria Baelish</v>
      </c>
      <c r="D2" s="32" t="s">
        <v>89</v>
      </c>
      <c r="E2" s="33"/>
      <c r="F2" s="31" t="s">
        <v>90</v>
      </c>
      <c r="G2" s="31">
        <v>32</v>
      </c>
      <c r="H2" s="31">
        <f ca="1">IF(OR(I2="",I2="N/A"),"N/A",DATEDIF(I2,TODAY(),"Y"))</f>
        <v>32</v>
      </c>
      <c r="I2" s="34">
        <v>34347</v>
      </c>
      <c r="J2" s="31" t="s">
        <v>91</v>
      </c>
      <c r="K2" s="31" t="str">
        <f>IFERROR(TRIM(_xlfn.TEXTBEFORE(J2,"|")),J2)</f>
        <v>Ninho da Águia</v>
      </c>
      <c r="L2" s="31" t="s">
        <v>92</v>
      </c>
      <c r="M2" s="31" t="str" cm="1">
        <f t="array" ref="M2">PROPER(IF(L2&lt;&gt;"",L2,_xlfn.XLOOKUP(1,($K$2:$K$398=K2)*($L$2:$L$398&lt;&gt;""),$L$2:$L$398,"")))</f>
        <v>Vale</v>
      </c>
      <c r="N2" s="31">
        <v>15600</v>
      </c>
      <c r="O2" s="31">
        <f>IF(N2="N/A","Não informado",IFERROR(VALUE(SUBSTITUTE(SUBSTITUTE(N2,"R$ ","")," moedas","")),N2))</f>
        <v>15600</v>
      </c>
      <c r="P2" s="31">
        <v>0</v>
      </c>
      <c r="Q2" s="35">
        <f>IF(P2="N/A","Não informado",IFERROR(VALUE(SUBSTITUTE(SUBSTITUTE(P2,"R$ ","")," moedas","")),P2))</f>
        <v>0</v>
      </c>
      <c r="R2" s="31" t="s">
        <v>50</v>
      </c>
      <c r="S2" s="31" t="str">
        <f>IF(OR(R2="Sim",R2="SIM",R2="sim",R2=1,R2="1"),"Sim",IF(OR(R2="Não",R2="Nao",R2="NÃO",R2="nao",R2=0,R2="0"),"Não","Não informado"))</f>
        <v>Sim</v>
      </c>
      <c r="T2" s="31">
        <v>34</v>
      </c>
      <c r="U2" s="31">
        <f>IFERROR(VALUE(SUBSTITUTE(T2," batalhas","")),T2)</f>
        <v>34</v>
      </c>
      <c r="V2" s="31" t="s">
        <v>50</v>
      </c>
      <c r="W2" s="31">
        <v>16000</v>
      </c>
      <c r="X2" s="31">
        <f>IFERROR(VALUE(SUBSTITUTE(SUBSTITUTE(W2,"R$ ","")," moedas","")),W2)</f>
        <v>16000</v>
      </c>
      <c r="Y2" s="31" t="str">
        <f>IF(U2&lt;=10,"Baixo",IF(U2&lt;=25,"Médio","Alto"))</f>
        <v>Alto</v>
      </c>
      <c r="Z2" s="31" t="str">
        <f>IF(AND(Y2="Alto",S2="Sim"),"Negada","Aprovada")</f>
        <v>Negada</v>
      </c>
      <c r="AA2" s="31" t="str">
        <f>IF(AND(Q2&gt;50000,S2="Sim"),"Negada","Aprovada")</f>
        <v>Aprovada</v>
      </c>
      <c r="AB2" s="36">
        <f>IF(AND(Z2="Negada",AA2="Negada"),"Já foi negado",IF(B2="Ativo",X2*8%,"Não liberado"))</f>
        <v>1280</v>
      </c>
    </row>
    <row r="3" spans="1:28">
      <c r="A3" t="s">
        <v>93</v>
      </c>
      <c r="B3" s="18" t="str">
        <f t="shared" ref="B3:B66" si="0">IF(A3="","Não informado",IF(OR(A3="Ativoo",A3="ATIVO",A3="ativo"),"Ativo",IF(OR(A3="Loqueado",A3="Bloqueado"),"Bloqueado",PROPER(A3))))</f>
        <v>Inativo</v>
      </c>
      <c r="C3" s="18" t="str">
        <f t="shared" ref="C3:C66" si="1">PROPER(D3)</f>
        <v>Stannis Lannister</v>
      </c>
      <c r="D3" s="19" t="s">
        <v>94</v>
      </c>
      <c r="E3" s="20">
        <v>36100</v>
      </c>
      <c r="F3" s="20" t="str">
        <f>TEXT(E3,"000\.000\.000\-00")</f>
        <v>000.000.361-00</v>
      </c>
      <c r="G3" s="18">
        <v>24</v>
      </c>
      <c r="H3" s="31">
        <f ca="1">IF(OR(I3="",I3="N/A"),"N/A",DATEDIF(I3,TODAY(),"Y"))</f>
        <v>24</v>
      </c>
      <c r="I3" s="21">
        <v>37313</v>
      </c>
      <c r="J3" s="18" t="s">
        <v>95</v>
      </c>
      <c r="K3" s="18" t="str">
        <f t="shared" ref="K3:K66" si="2">IFERROR(TRIM(_xlfn.TEXTBEFORE(J3,"|")),J3)</f>
        <v>Ponta Tempestade</v>
      </c>
      <c r="L3" s="18" t="s">
        <v>96</v>
      </c>
      <c r="M3" s="18" t="str" cm="1">
        <f t="array" ref="M3">PROPER(IF(L3&lt;&gt;"",L3,_xlfn.XLOOKUP(1,($K$2:$K$398=K3)*($L$2:$L$398&lt;&gt;""),$L$2:$L$398,"")))</f>
        <v>Terras Da Tempestade</v>
      </c>
      <c r="N3" s="18" t="s">
        <v>97</v>
      </c>
      <c r="O3" s="18">
        <f t="shared" ref="O3:O66" si="3">IF(N3="N/A","Não informado",IFERROR(VALUE(SUBSTITUTE(SUBSTITUTE(N3,"R$ ","")," moedas","")),N3))</f>
        <v>11000</v>
      </c>
      <c r="P3" s="18">
        <v>76500</v>
      </c>
      <c r="Q3" s="22">
        <f t="shared" ref="Q3:Q66" si="4">IF(P3="N/A","Não informado",IFERROR(VALUE(SUBSTITUTE(SUBSTITUTE(P3,"R$ ","")," moedas","")),P3))</f>
        <v>76500</v>
      </c>
      <c r="R3" s="18" t="s">
        <v>50</v>
      </c>
      <c r="S3" s="18" t="str">
        <f t="shared" ref="S3:S66" si="5">IF(OR(R3="Sim",R3="SIM",R3="sim",R3=1,R3="1"),"Sim",IF(OR(R3="Não",R3="Nao",R3="NÃO",R3="nao",R3=0,R3="0"),"Não","Não informado"))</f>
        <v>Sim</v>
      </c>
      <c r="T3" s="18">
        <v>33</v>
      </c>
      <c r="U3" s="18">
        <f t="shared" ref="U3:U66" si="6">IFERROR(VALUE(SUBSTITUTE(T3," batalhas","")),T3)</f>
        <v>33</v>
      </c>
      <c r="V3" s="18" t="s">
        <v>50</v>
      </c>
      <c r="W3" s="18">
        <v>26000</v>
      </c>
      <c r="X3" s="18">
        <f t="shared" ref="X3:X66" si="7">IFERROR(VALUE(SUBSTITUTE(SUBSTITUTE(W3,"R$ ","")," moedas","")),W3)</f>
        <v>26000</v>
      </c>
      <c r="Y3" s="18" t="str">
        <f t="shared" ref="Y3:Y66" si="8">IF(U3&lt;=10,"Baixo",IF(U3&lt;=25,"Médio","Alto"))</f>
        <v>Alto</v>
      </c>
      <c r="Z3" s="18" t="str">
        <f>IF(AND(Y3="Alto",S3="Sim"),"Negada","Aprovada")</f>
        <v>Negada</v>
      </c>
      <c r="AA3" s="18" t="str">
        <f t="shared" ref="AA3:AA66" si="9">IF(AND(Q3&gt;50000,S3="Sim"),"Negada","Aprovada")</f>
        <v>Negada</v>
      </c>
      <c r="AB3" s="18" t="str">
        <f>IF(AND(Z3="Negada",AA3="Negada"),"Já foi negado",IF(B3="Ativo",X3*8%,"Não liberado"))</f>
        <v>Já foi negado</v>
      </c>
    </row>
    <row r="4" spans="1:28">
      <c r="A4" t="s">
        <v>88</v>
      </c>
      <c r="B4" t="str">
        <f t="shared" si="0"/>
        <v>Ativo</v>
      </c>
      <c r="C4" t="str">
        <f t="shared" si="1"/>
        <v>Asha Hornwood</v>
      </c>
      <c r="D4" s="15" t="s">
        <v>98</v>
      </c>
      <c r="E4" s="16" t="s">
        <v>99</v>
      </c>
      <c r="F4" s="16" t="str">
        <f>TEXT(E4,"000\.000\.000\-00")</f>
        <v>000.000.363-00</v>
      </c>
      <c r="G4">
        <v>33</v>
      </c>
      <c r="H4">
        <f ca="1">IF(OR(I4="",I4="N/A"),"N/A",DATEDIF(I4,TODAY(),"Y"))</f>
        <v>33</v>
      </c>
      <c r="I4" s="12">
        <v>34144</v>
      </c>
      <c r="J4" t="s">
        <v>100</v>
      </c>
      <c r="K4" t="str">
        <f t="shared" si="2"/>
        <v>Pedra do Dragão</v>
      </c>
      <c r="L4" t="s">
        <v>101</v>
      </c>
      <c r="M4" t="str" cm="1">
        <f t="array" ref="M4">PROPER(IF(L4&lt;&gt;"",L4,_xlfn.XLOOKUP(1,($K$2:$K$398=K4)*($L$2:$L$398&lt;&gt;""),$L$2:$L$398,"")))</f>
        <v>Terras Da Coroa</v>
      </c>
      <c r="N4" t="s">
        <v>102</v>
      </c>
      <c r="O4">
        <f t="shared" si="3"/>
        <v>21500</v>
      </c>
      <c r="P4" t="s">
        <v>103</v>
      </c>
      <c r="Q4" s="17" t="str">
        <f t="shared" si="4"/>
        <v>Não informado</v>
      </c>
      <c r="R4" t="s">
        <v>49</v>
      </c>
      <c r="S4" t="str">
        <f t="shared" si="5"/>
        <v>Não</v>
      </c>
      <c r="T4">
        <v>22</v>
      </c>
      <c r="U4">
        <f t="shared" si="6"/>
        <v>22</v>
      </c>
      <c r="V4" t="s">
        <v>49</v>
      </c>
      <c r="W4">
        <v>51500</v>
      </c>
      <c r="X4">
        <f t="shared" si="7"/>
        <v>51500</v>
      </c>
      <c r="Y4" t="str">
        <f t="shared" si="8"/>
        <v>Médio</v>
      </c>
      <c r="Z4" t="str">
        <f>IF(AND(Y4="Alto",S4="Sim"),"Negada","Aprovada")</f>
        <v>Aprovada</v>
      </c>
      <c r="AA4" t="str">
        <f t="shared" si="9"/>
        <v>Aprovada</v>
      </c>
      <c r="AB4">
        <f>IF(AND(Z4="Negada",AA4="Negada"),"Já foi negado",IF(B4="Ativo",X4*8%,"Não liberado"))</f>
        <v>4120</v>
      </c>
    </row>
    <row r="5" spans="1:28">
      <c r="A5" t="s">
        <v>88</v>
      </c>
      <c r="B5" t="str">
        <f t="shared" si="0"/>
        <v>Ativo</v>
      </c>
      <c r="C5" t="str">
        <f t="shared" si="1"/>
        <v>Jorah Dondarrion</v>
      </c>
      <c r="D5" s="15" t="s">
        <v>104</v>
      </c>
      <c r="E5" s="16" t="s">
        <v>105</v>
      </c>
      <c r="F5" s="16" t="str">
        <f t="shared" ref="F5:F67" si="10">TEXT(E5,"000\.000\.000\-00")</f>
        <v>000.000.210-00</v>
      </c>
      <c r="G5">
        <v>63</v>
      </c>
      <c r="H5">
        <f t="shared" ref="H5:H68" ca="1" si="11">IF(OR(I5="",I5="N/A"),"N/A",DATEDIF(I5,TODAY(),"Y"))</f>
        <v>63</v>
      </c>
      <c r="I5" s="12">
        <v>23156</v>
      </c>
      <c r="J5" t="s">
        <v>106</v>
      </c>
      <c r="K5" t="str">
        <f t="shared" si="2"/>
        <v>Pyke</v>
      </c>
      <c r="M5" t="str" cm="1">
        <f t="array" ref="M5">PROPER(IF(L5&lt;&gt;"",L5,_xlfn.XLOOKUP(1,($K$2:$K$398=K5)*($L$2:$L$398&lt;&gt;""),$L$2:$L$398,"")))</f>
        <v>Ilhas De Ferro</v>
      </c>
      <c r="N5" t="s">
        <v>107</v>
      </c>
      <c r="O5">
        <f t="shared" si="3"/>
        <v>10400</v>
      </c>
      <c r="P5">
        <v>8500</v>
      </c>
      <c r="Q5" s="17">
        <f t="shared" si="4"/>
        <v>8500</v>
      </c>
      <c r="R5" t="s">
        <v>49</v>
      </c>
      <c r="S5" t="str">
        <f t="shared" si="5"/>
        <v>Não</v>
      </c>
      <c r="T5">
        <v>39</v>
      </c>
      <c r="U5">
        <f t="shared" si="6"/>
        <v>39</v>
      </c>
      <c r="V5" t="s">
        <v>49</v>
      </c>
      <c r="W5">
        <v>36500</v>
      </c>
      <c r="X5">
        <f t="shared" si="7"/>
        <v>36500</v>
      </c>
      <c r="Y5" t="str">
        <f t="shared" si="8"/>
        <v>Alto</v>
      </c>
      <c r="Z5" t="str">
        <f>IF(AND(Y5="Alto",S5="Sim"),"Negada","Aprovada")</f>
        <v>Aprovada</v>
      </c>
      <c r="AA5" t="str">
        <f t="shared" si="9"/>
        <v>Aprovada</v>
      </c>
      <c r="AB5">
        <f>IF(AND(Z5="Negada",AA5="Negada"),"Já foi negado",IF(B5="Ativo",X5*8%,"Não liberado"))</f>
        <v>2920</v>
      </c>
    </row>
    <row r="6" spans="1:28">
      <c r="A6" t="s">
        <v>88</v>
      </c>
      <c r="B6" t="str">
        <f t="shared" si="0"/>
        <v>Ativo</v>
      </c>
      <c r="C6" t="str">
        <f t="shared" si="1"/>
        <v>Jojen Florent</v>
      </c>
      <c r="D6" s="15" t="s">
        <v>108</v>
      </c>
      <c r="E6" s="16" t="s">
        <v>109</v>
      </c>
      <c r="F6" s="16" t="str">
        <f t="shared" si="10"/>
        <v>000.000.321-00</v>
      </c>
      <c r="G6">
        <v>32</v>
      </c>
      <c r="H6">
        <f t="shared" ca="1" si="11"/>
        <v>32</v>
      </c>
      <c r="I6" s="12">
        <v>34299</v>
      </c>
      <c r="J6" t="s">
        <v>91</v>
      </c>
      <c r="K6" t="str">
        <f t="shared" si="2"/>
        <v>Ninho da Águia</v>
      </c>
      <c r="L6" t="s">
        <v>110</v>
      </c>
      <c r="M6" t="str" cm="1">
        <f t="array" ref="M6">PROPER(IF(L6&lt;&gt;"",L6,_xlfn.XLOOKUP(1,($K$2:$K$398=K6)*($L$2:$L$398&lt;&gt;""),$L$2:$L$398,"")))</f>
        <v>Vale</v>
      </c>
      <c r="N6" s="13">
        <v>30000</v>
      </c>
      <c r="O6">
        <f t="shared" si="3"/>
        <v>30000</v>
      </c>
      <c r="Q6" s="17">
        <f t="shared" si="4"/>
        <v>0</v>
      </c>
      <c r="R6" t="s">
        <v>49</v>
      </c>
      <c r="S6" t="str">
        <f t="shared" si="5"/>
        <v>Não</v>
      </c>
      <c r="T6">
        <v>5</v>
      </c>
      <c r="U6">
        <f t="shared" si="6"/>
        <v>5</v>
      </c>
      <c r="V6" t="s">
        <v>49</v>
      </c>
      <c r="W6">
        <v>65000</v>
      </c>
      <c r="X6">
        <f t="shared" si="7"/>
        <v>65000</v>
      </c>
      <c r="Y6" t="str">
        <f t="shared" si="8"/>
        <v>Baixo</v>
      </c>
      <c r="Z6" t="str">
        <f>IF(AND(Y6="Alto",S6="Sim"),"Negada","Aprovada")</f>
        <v>Aprovada</v>
      </c>
      <c r="AA6" t="str">
        <f t="shared" si="9"/>
        <v>Aprovada</v>
      </c>
      <c r="AB6">
        <f>IF(AND(Z6="Negada",AA6="Negada"),"Já foi negado",IF(B6="Ativo",X6*8%,"Não liberado"))</f>
        <v>5200</v>
      </c>
    </row>
    <row r="7" spans="1:28">
      <c r="A7" t="s">
        <v>88</v>
      </c>
      <c r="B7" t="str">
        <f t="shared" si="0"/>
        <v>Ativo</v>
      </c>
      <c r="C7" t="str">
        <f t="shared" si="1"/>
        <v>Olenna Baelish</v>
      </c>
      <c r="D7" s="15" t="s">
        <v>111</v>
      </c>
      <c r="E7" s="16" t="s">
        <v>112</v>
      </c>
      <c r="F7" s="16" t="str">
        <f t="shared" si="10"/>
        <v>000.000.191-00</v>
      </c>
      <c r="G7">
        <v>48</v>
      </c>
      <c r="H7">
        <f t="shared" ca="1" si="11"/>
        <v>48</v>
      </c>
      <c r="I7" s="12">
        <v>28647</v>
      </c>
      <c r="J7" t="s">
        <v>113</v>
      </c>
      <c r="K7" t="str">
        <f t="shared" si="2"/>
        <v>Lannisporto</v>
      </c>
      <c r="M7" t="str" cm="1">
        <f t="array" ref="M7">PROPER(IF(L7&lt;&gt;"",L7,_xlfn.XLOOKUP(1,($K$2:$K$398=K7)*($L$2:$L$398&lt;&gt;""),$L$2:$L$398,"")))</f>
        <v>Oeste</v>
      </c>
      <c r="N7">
        <v>13200</v>
      </c>
      <c r="O7">
        <f t="shared" si="3"/>
        <v>13200</v>
      </c>
      <c r="P7" t="s">
        <v>114</v>
      </c>
      <c r="Q7" s="17">
        <f t="shared" si="4"/>
        <v>3500</v>
      </c>
      <c r="R7" t="s">
        <v>49</v>
      </c>
      <c r="S7" t="str">
        <f t="shared" si="5"/>
        <v>Não</v>
      </c>
      <c r="T7">
        <v>1</v>
      </c>
      <c r="U7">
        <f t="shared" si="6"/>
        <v>1</v>
      </c>
      <c r="V7" t="s">
        <v>49</v>
      </c>
      <c r="W7">
        <v>32500</v>
      </c>
      <c r="X7">
        <f t="shared" si="7"/>
        <v>32500</v>
      </c>
      <c r="Y7" t="str">
        <f t="shared" si="8"/>
        <v>Baixo</v>
      </c>
      <c r="Z7" t="str">
        <f>IF(AND(Y7="Alto",S7="Sim"),"Negada","Aprovada")</f>
        <v>Aprovada</v>
      </c>
      <c r="AA7" t="str">
        <f t="shared" si="9"/>
        <v>Aprovada</v>
      </c>
      <c r="AB7">
        <f>IF(AND(Z7="Negada",AA7="Negada"),"Já foi negado",IF(B7="Ativo",X7*8%,"Não liberado"))</f>
        <v>2600</v>
      </c>
    </row>
    <row r="8" spans="1:28">
      <c r="A8" t="s">
        <v>88</v>
      </c>
      <c r="B8" t="str">
        <f t="shared" si="0"/>
        <v>Ativo</v>
      </c>
      <c r="C8" t="str">
        <f t="shared" si="1"/>
        <v>Brienne Manderly</v>
      </c>
      <c r="D8" s="15" t="s">
        <v>115</v>
      </c>
      <c r="E8" s="16" t="s">
        <v>116</v>
      </c>
      <c r="F8" s="16" t="str">
        <f t="shared" si="10"/>
        <v>000.000.076-00</v>
      </c>
      <c r="G8">
        <v>28</v>
      </c>
      <c r="H8">
        <f t="shared" ca="1" si="11"/>
        <v>28</v>
      </c>
      <c r="I8" s="12">
        <v>35830</v>
      </c>
      <c r="J8" t="s">
        <v>113</v>
      </c>
      <c r="K8" t="str">
        <f t="shared" si="2"/>
        <v>Lannisporto</v>
      </c>
      <c r="L8" t="s">
        <v>117</v>
      </c>
      <c r="M8" t="str" cm="1">
        <f t="array" ref="M8">PROPER(IF(L8&lt;&gt;"",L8,_xlfn.XLOOKUP(1,($K$2:$K$398=K8)*($L$2:$L$398&lt;&gt;""),$L$2:$L$398,"")))</f>
        <v>Oeste</v>
      </c>
      <c r="N8" t="s">
        <v>118</v>
      </c>
      <c r="O8">
        <f t="shared" si="3"/>
        <v>8600</v>
      </c>
      <c r="P8" s="13">
        <v>19000</v>
      </c>
      <c r="Q8" s="17">
        <f t="shared" si="4"/>
        <v>19000</v>
      </c>
      <c r="R8" t="s">
        <v>50</v>
      </c>
      <c r="S8" t="str">
        <f t="shared" si="5"/>
        <v>Sim</v>
      </c>
      <c r="T8">
        <v>4</v>
      </c>
      <c r="U8">
        <f t="shared" si="6"/>
        <v>4</v>
      </c>
      <c r="V8" t="s">
        <v>50</v>
      </c>
      <c r="W8">
        <v>32500</v>
      </c>
      <c r="X8">
        <f t="shared" si="7"/>
        <v>32500</v>
      </c>
      <c r="Y8" t="str">
        <f t="shared" si="8"/>
        <v>Baixo</v>
      </c>
      <c r="Z8" t="str">
        <f>IF(AND(Y8="Alto",S8="Sim"),"Negada","Aprovada")</f>
        <v>Aprovada</v>
      </c>
      <c r="AA8" t="str">
        <f t="shared" si="9"/>
        <v>Aprovada</v>
      </c>
      <c r="AB8">
        <f>IF(AND(Z8="Negada",AA8="Negada"),"Já foi negado",IF(B8="Ativo",X8*8%,"Não liberado"))</f>
        <v>2600</v>
      </c>
    </row>
    <row r="9" spans="1:28">
      <c r="A9" t="s">
        <v>93</v>
      </c>
      <c r="B9" t="str">
        <f t="shared" si="0"/>
        <v>Inativo</v>
      </c>
      <c r="C9" t="str">
        <f t="shared" si="1"/>
        <v>Yara Targaryen</v>
      </c>
      <c r="D9" s="15" t="s">
        <v>119</v>
      </c>
      <c r="E9" s="16" t="s">
        <v>120</v>
      </c>
      <c r="F9" s="16" t="str">
        <f t="shared" si="10"/>
        <v>000.000.059-00</v>
      </c>
      <c r="G9">
        <v>42</v>
      </c>
      <c r="H9">
        <f t="shared" ca="1" si="11"/>
        <v>42</v>
      </c>
      <c r="I9" s="12">
        <v>30810</v>
      </c>
      <c r="J9" t="s">
        <v>121</v>
      </c>
      <c r="K9" t="str">
        <f t="shared" si="2"/>
        <v>Pyke</v>
      </c>
      <c r="L9" t="s">
        <v>122</v>
      </c>
      <c r="M9" t="str" cm="1">
        <f t="array" ref="M9">PROPER(IF(L9&lt;&gt;"",L9,_xlfn.XLOOKUP(1,($K$2:$K$398=K9)*($L$2:$L$398&lt;&gt;""),$L$2:$L$398,"")))</f>
        <v>Ilhas De Ferro</v>
      </c>
      <c r="N9" t="s">
        <v>123</v>
      </c>
      <c r="O9">
        <f t="shared" si="3"/>
        <v>18200</v>
      </c>
      <c r="P9" t="s">
        <v>124</v>
      </c>
      <c r="Q9" s="17">
        <f t="shared" si="4"/>
        <v>31000</v>
      </c>
      <c r="R9" t="s">
        <v>49</v>
      </c>
      <c r="S9" t="str">
        <f t="shared" si="5"/>
        <v>Não</v>
      </c>
      <c r="T9">
        <v>19</v>
      </c>
      <c r="U9">
        <f t="shared" si="6"/>
        <v>19</v>
      </c>
      <c r="V9" t="s">
        <v>49</v>
      </c>
      <c r="W9">
        <v>63500</v>
      </c>
      <c r="X9">
        <f t="shared" si="7"/>
        <v>63500</v>
      </c>
      <c r="Y9" t="str">
        <f t="shared" si="8"/>
        <v>Médio</v>
      </c>
      <c r="Z9" t="str">
        <f>IF(AND(Y9="Alto",S9="Sim"),"Negada","Aprovada")</f>
        <v>Aprovada</v>
      </c>
      <c r="AA9" t="str">
        <f t="shared" si="9"/>
        <v>Aprovada</v>
      </c>
      <c r="AB9" t="str">
        <f>IF(AND(Z9="Negada",AA9="Negada"),"Já foi negado",IF(B9="Ativo",X9*8%,"Não liberado"))</f>
        <v>Não liberado</v>
      </c>
    </row>
    <row r="10" spans="1:28">
      <c r="A10" t="s">
        <v>88</v>
      </c>
      <c r="B10" t="str">
        <f t="shared" si="0"/>
        <v>Ativo</v>
      </c>
      <c r="C10" t="str">
        <f t="shared" si="1"/>
        <v>Margaery Tarly</v>
      </c>
      <c r="D10" s="15" t="s">
        <v>125</v>
      </c>
      <c r="E10" s="16" t="s">
        <v>126</v>
      </c>
      <c r="F10" s="16" t="str">
        <f t="shared" si="10"/>
        <v>000.000.274-00</v>
      </c>
      <c r="G10">
        <v>34</v>
      </c>
      <c r="H10">
        <f t="shared" ca="1" si="11"/>
        <v>34</v>
      </c>
      <c r="I10" s="12">
        <v>33624</v>
      </c>
      <c r="J10" t="s">
        <v>121</v>
      </c>
      <c r="K10" t="str">
        <f t="shared" si="2"/>
        <v>Pyke</v>
      </c>
      <c r="L10" t="s">
        <v>127</v>
      </c>
      <c r="M10" t="str" cm="1">
        <f t="array" ref="M10">PROPER(IF(L10&lt;&gt;"",L10,_xlfn.XLOOKUP(1,($K$2:$K$398=K10)*($L$2:$L$398&lt;&gt;""),$L$2:$L$398,"")))</f>
        <v>Ilhas De Ferro</v>
      </c>
      <c r="N10">
        <v>8000</v>
      </c>
      <c r="O10">
        <f t="shared" si="3"/>
        <v>8000</v>
      </c>
      <c r="P10" s="14">
        <v>14500</v>
      </c>
      <c r="Q10" s="17">
        <f t="shared" si="4"/>
        <v>14500</v>
      </c>
      <c r="R10" t="s">
        <v>50</v>
      </c>
      <c r="S10" t="str">
        <f t="shared" si="5"/>
        <v>Sim</v>
      </c>
      <c r="T10">
        <v>9</v>
      </c>
      <c r="U10">
        <f t="shared" si="6"/>
        <v>9</v>
      </c>
      <c r="V10" t="s">
        <v>50</v>
      </c>
      <c r="W10">
        <v>17500</v>
      </c>
      <c r="X10">
        <f t="shared" si="7"/>
        <v>17500</v>
      </c>
      <c r="Y10" t="str">
        <f t="shared" si="8"/>
        <v>Baixo</v>
      </c>
      <c r="Z10" t="str">
        <f>IF(AND(Y10="Alto",S10="Sim"),"Negada","Aprovada")</f>
        <v>Aprovada</v>
      </c>
      <c r="AA10" t="str">
        <f t="shared" si="9"/>
        <v>Aprovada</v>
      </c>
      <c r="AB10">
        <f>IF(AND(Z10="Negada",AA10="Negada"),"Já foi negado",IF(B10="Ativo",X10*8%,"Não liberado"))</f>
        <v>1400</v>
      </c>
    </row>
    <row r="11" spans="1:28">
      <c r="A11" t="s">
        <v>93</v>
      </c>
      <c r="B11" t="str">
        <f t="shared" si="0"/>
        <v>Inativo</v>
      </c>
      <c r="C11" t="str">
        <f t="shared" si="1"/>
        <v>Viserys Seaworth</v>
      </c>
      <c r="D11" s="15" t="s">
        <v>128</v>
      </c>
      <c r="E11" s="16" t="s">
        <v>129</v>
      </c>
      <c r="F11" s="16" t="str">
        <f t="shared" si="10"/>
        <v>000.000.024-00</v>
      </c>
      <c r="G11">
        <v>61</v>
      </c>
      <c r="H11">
        <f t="shared" ca="1" si="11"/>
        <v>61</v>
      </c>
      <c r="I11" s="12">
        <v>23667</v>
      </c>
      <c r="J11" t="s">
        <v>130</v>
      </c>
      <c r="K11" t="str">
        <f t="shared" si="2"/>
        <v>Meereen</v>
      </c>
      <c r="L11" t="s">
        <v>131</v>
      </c>
      <c r="M11" t="str" cm="1">
        <f t="array" ref="M11">PROPER(IF(L11&lt;&gt;"",L11,_xlfn.XLOOKUP(1,($K$2:$K$398=K11)*($L$2:$L$398&lt;&gt;""),$L$2:$L$398,"")))</f>
        <v>Essos</v>
      </c>
      <c r="N11" t="s">
        <v>132</v>
      </c>
      <c r="O11">
        <f t="shared" si="3"/>
        <v>23000</v>
      </c>
      <c r="P11">
        <v>44500</v>
      </c>
      <c r="Q11" s="17">
        <f t="shared" si="4"/>
        <v>44500</v>
      </c>
      <c r="R11" t="s">
        <v>50</v>
      </c>
      <c r="S11" t="str">
        <f t="shared" si="5"/>
        <v>Sim</v>
      </c>
      <c r="T11">
        <v>32</v>
      </c>
      <c r="U11">
        <f t="shared" si="6"/>
        <v>32</v>
      </c>
      <c r="V11" t="s">
        <v>50</v>
      </c>
      <c r="W11">
        <v>2000</v>
      </c>
      <c r="X11">
        <f t="shared" si="7"/>
        <v>2000</v>
      </c>
      <c r="Y11" t="str">
        <f t="shared" si="8"/>
        <v>Alto</v>
      </c>
      <c r="Z11" t="str">
        <f>IF(AND(Y11="Alto",S11="Sim"),"Negada","Aprovada")</f>
        <v>Negada</v>
      </c>
      <c r="AA11" t="str">
        <f t="shared" si="9"/>
        <v>Aprovada</v>
      </c>
      <c r="AB11" t="str">
        <f>IF(AND(Z11="Negada",AA11="Negada"),"Já foi negado",IF(B11="Ativo",X11*8%,"Não liberado"))</f>
        <v>Não liberado</v>
      </c>
    </row>
    <row r="12" spans="1:28">
      <c r="A12" t="s">
        <v>88</v>
      </c>
      <c r="B12" t="str">
        <f t="shared" si="0"/>
        <v>Ativo</v>
      </c>
      <c r="C12" t="str">
        <f t="shared" si="1"/>
        <v>Tormund  Cerwyn</v>
      </c>
      <c r="D12" s="15" t="s">
        <v>133</v>
      </c>
      <c r="E12" s="16" t="s">
        <v>134</v>
      </c>
      <c r="F12" s="16" t="str">
        <f t="shared" si="10"/>
        <v>000.000.039-00</v>
      </c>
      <c r="G12">
        <v>33</v>
      </c>
      <c r="H12">
        <f t="shared" ca="1" si="11"/>
        <v>33</v>
      </c>
      <c r="I12" s="12">
        <v>34147</v>
      </c>
      <c r="J12" t="s">
        <v>130</v>
      </c>
      <c r="K12" t="str">
        <f t="shared" si="2"/>
        <v>Meereen</v>
      </c>
      <c r="L12" t="s">
        <v>131</v>
      </c>
      <c r="M12" t="str" cm="1">
        <f t="array" ref="M12">PROPER(IF(L12&lt;&gt;"",L12,_xlfn.XLOOKUP(1,($K$2:$K$398=K12)*($L$2:$L$398&lt;&gt;""),$L$2:$L$398,"")))</f>
        <v>Essos</v>
      </c>
      <c r="N12">
        <v>28700</v>
      </c>
      <c r="O12">
        <f t="shared" si="3"/>
        <v>28700</v>
      </c>
      <c r="P12">
        <v>12500</v>
      </c>
      <c r="Q12" s="17">
        <f t="shared" si="4"/>
        <v>12500</v>
      </c>
      <c r="R12" t="s">
        <v>49</v>
      </c>
      <c r="S12" t="str">
        <f t="shared" si="5"/>
        <v>Não</v>
      </c>
      <c r="T12">
        <v>41</v>
      </c>
      <c r="U12">
        <f t="shared" si="6"/>
        <v>41</v>
      </c>
      <c r="V12" t="s">
        <v>49</v>
      </c>
      <c r="W12">
        <v>99500</v>
      </c>
      <c r="X12">
        <f t="shared" si="7"/>
        <v>99500</v>
      </c>
      <c r="Y12" t="str">
        <f t="shared" si="8"/>
        <v>Alto</v>
      </c>
      <c r="Z12" t="str">
        <f>IF(AND(Y12="Alto",S12="Sim"),"Negada","Aprovada")</f>
        <v>Aprovada</v>
      </c>
      <c r="AA12" t="str">
        <f t="shared" si="9"/>
        <v>Aprovada</v>
      </c>
      <c r="AB12">
        <f>IF(AND(Z12="Negada",AA12="Negada"),"Já foi negado",IF(B12="Ativo",X12*8%,"Não liberado"))</f>
        <v>7960</v>
      </c>
    </row>
    <row r="13" spans="1:28">
      <c r="A13" t="s">
        <v>88</v>
      </c>
      <c r="B13" t="str">
        <f t="shared" si="0"/>
        <v>Ativo</v>
      </c>
      <c r="C13" t="str">
        <f t="shared" si="1"/>
        <v>Catelyn Westerling</v>
      </c>
      <c r="D13" s="15" t="s">
        <v>135</v>
      </c>
      <c r="E13" s="16">
        <v>35800</v>
      </c>
      <c r="F13" s="16" t="str">
        <f t="shared" si="10"/>
        <v>000.000.358-00</v>
      </c>
      <c r="G13">
        <v>70</v>
      </c>
      <c r="H13">
        <f t="shared" ca="1" si="11"/>
        <v>70</v>
      </c>
      <c r="I13" s="12">
        <v>20515</v>
      </c>
      <c r="J13" t="s">
        <v>136</v>
      </c>
      <c r="K13" t="str">
        <f t="shared" si="2"/>
        <v>Braavos</v>
      </c>
      <c r="L13" t="s">
        <v>131</v>
      </c>
      <c r="M13" t="str" cm="1">
        <f t="array" ref="M13">PROPER(IF(L13&lt;&gt;"",L13,_xlfn.XLOOKUP(1,($K$2:$K$398=K13)*($L$2:$L$398&lt;&gt;""),$L$2:$L$398,"")))</f>
        <v>Essos</v>
      </c>
      <c r="N13" t="s">
        <v>137</v>
      </c>
      <c r="O13">
        <f t="shared" si="3"/>
        <v>19500</v>
      </c>
      <c r="P13">
        <v>62000</v>
      </c>
      <c r="Q13" s="17">
        <f t="shared" si="4"/>
        <v>62000</v>
      </c>
      <c r="R13" t="s">
        <v>50</v>
      </c>
      <c r="S13" t="str">
        <f t="shared" si="5"/>
        <v>Sim</v>
      </c>
      <c r="T13">
        <v>45</v>
      </c>
      <c r="U13">
        <f t="shared" si="6"/>
        <v>45</v>
      </c>
      <c r="V13" t="s">
        <v>50</v>
      </c>
      <c r="W13">
        <v>35500</v>
      </c>
      <c r="X13">
        <f t="shared" si="7"/>
        <v>35500</v>
      </c>
      <c r="Y13" t="str">
        <f t="shared" si="8"/>
        <v>Alto</v>
      </c>
      <c r="Z13" t="str">
        <f>IF(AND(Y13="Alto",S13="Sim"),"Negada","Aprovada")</f>
        <v>Negada</v>
      </c>
      <c r="AA13" t="str">
        <f t="shared" si="9"/>
        <v>Negada</v>
      </c>
      <c r="AB13" t="str">
        <f>IF(AND(Z13="Negada",AA13="Negada"),"Já foi negado",IF(B13="Ativo",X13*8%,"Não liberado"))</f>
        <v>Já foi negado</v>
      </c>
    </row>
    <row r="14" spans="1:28">
      <c r="A14" t="s">
        <v>88</v>
      </c>
      <c r="B14" t="str">
        <f t="shared" si="0"/>
        <v>Ativo</v>
      </c>
      <c r="C14" t="str">
        <f t="shared" si="1"/>
        <v>Robb Baratheon</v>
      </c>
      <c r="D14" s="15" t="s">
        <v>138</v>
      </c>
      <c r="E14" s="16" t="s">
        <v>139</v>
      </c>
      <c r="F14" s="16" t="str">
        <f t="shared" si="10"/>
        <v>000.000.365-00</v>
      </c>
      <c r="G14">
        <v>54</v>
      </c>
      <c r="H14">
        <f t="shared" ca="1" si="11"/>
        <v>54</v>
      </c>
      <c r="I14" s="12">
        <v>26382</v>
      </c>
      <c r="J14" t="s">
        <v>95</v>
      </c>
      <c r="K14" t="str">
        <f t="shared" si="2"/>
        <v>Ponta Tempestade</v>
      </c>
      <c r="L14" t="s">
        <v>96</v>
      </c>
      <c r="M14" t="str" cm="1">
        <f t="array" ref="M14">PROPER(IF(L14&lt;&gt;"",L14,_xlfn.XLOOKUP(1,($K$2:$K$398=K14)*($L$2:$L$398&lt;&gt;""),$L$2:$L$398,"")))</f>
        <v>Terras Da Tempestade</v>
      </c>
      <c r="N14">
        <v>22100</v>
      </c>
      <c r="O14">
        <f t="shared" si="3"/>
        <v>22100</v>
      </c>
      <c r="P14">
        <v>37000</v>
      </c>
      <c r="Q14" s="17">
        <f t="shared" si="4"/>
        <v>37000</v>
      </c>
      <c r="R14" t="s">
        <v>49</v>
      </c>
      <c r="S14" t="str">
        <f t="shared" si="5"/>
        <v>Não</v>
      </c>
      <c r="T14">
        <v>34</v>
      </c>
      <c r="U14">
        <f t="shared" si="6"/>
        <v>34</v>
      </c>
      <c r="V14" t="s">
        <v>49</v>
      </c>
      <c r="W14">
        <v>87000</v>
      </c>
      <c r="X14">
        <f t="shared" si="7"/>
        <v>87000</v>
      </c>
      <c r="Y14" t="str">
        <f t="shared" si="8"/>
        <v>Alto</v>
      </c>
      <c r="Z14" t="str">
        <f>IF(AND(Y14="Alto",S14="Sim"),"Negada","Aprovada")</f>
        <v>Aprovada</v>
      </c>
      <c r="AA14" t="str">
        <f t="shared" si="9"/>
        <v>Aprovada</v>
      </c>
      <c r="AB14">
        <f>IF(AND(Z14="Negada",AA14="Negada"),"Já foi negado",IF(B14="Ativo",X14*8%,"Não liberado"))</f>
        <v>6960</v>
      </c>
    </row>
    <row r="15" spans="1:28">
      <c r="A15" t="s">
        <v>88</v>
      </c>
      <c r="B15" t="str">
        <f t="shared" si="0"/>
        <v>Ativo</v>
      </c>
      <c r="C15" t="str">
        <f t="shared" si="1"/>
        <v>Asha Tallhart</v>
      </c>
      <c r="D15" s="15" t="s">
        <v>140</v>
      </c>
      <c r="E15" s="16">
        <v>8600</v>
      </c>
      <c r="F15" s="16" t="str">
        <f t="shared" si="10"/>
        <v>000.000.086-00</v>
      </c>
      <c r="H15">
        <f t="shared" ca="1" si="11"/>
        <v>38</v>
      </c>
      <c r="I15" s="12">
        <v>32260</v>
      </c>
      <c r="J15" t="s">
        <v>121</v>
      </c>
      <c r="K15" t="str">
        <f t="shared" si="2"/>
        <v>Pyke</v>
      </c>
      <c r="L15" t="s">
        <v>141</v>
      </c>
      <c r="M15" t="str" cm="1">
        <f t="array" ref="M15">PROPER(IF(L15&lt;&gt;"",L15,_xlfn.XLOOKUP(1,($K$2:$K$398=K15)*($L$2:$L$398&lt;&gt;""),$L$2:$L$398,"")))</f>
        <v>Ilhas De Ferro</v>
      </c>
      <c r="N15" t="s">
        <v>142</v>
      </c>
      <c r="O15">
        <f t="shared" si="3"/>
        <v>17600</v>
      </c>
      <c r="P15">
        <v>0</v>
      </c>
      <c r="Q15" s="17">
        <f t="shared" si="4"/>
        <v>0</v>
      </c>
      <c r="R15" t="s">
        <v>50</v>
      </c>
      <c r="S15" t="str">
        <f t="shared" si="5"/>
        <v>Sim</v>
      </c>
      <c r="T15">
        <v>31</v>
      </c>
      <c r="U15">
        <f t="shared" si="6"/>
        <v>31</v>
      </c>
      <c r="V15" t="s">
        <v>50</v>
      </c>
      <c r="W15">
        <v>47500</v>
      </c>
      <c r="X15">
        <f t="shared" si="7"/>
        <v>47500</v>
      </c>
      <c r="Y15" t="str">
        <f t="shared" si="8"/>
        <v>Alto</v>
      </c>
      <c r="Z15" t="str">
        <f>IF(AND(Y15="Alto",S15="Sim"),"Negada","Aprovada")</f>
        <v>Negada</v>
      </c>
      <c r="AA15" t="str">
        <f t="shared" si="9"/>
        <v>Aprovada</v>
      </c>
      <c r="AB15">
        <f>IF(AND(Z15="Negada",AA15="Negada"),"Já foi negado",IF(B15="Ativo",X15*8%,"Não liberado"))</f>
        <v>3800</v>
      </c>
    </row>
    <row r="16" spans="1:28">
      <c r="A16" t="s">
        <v>93</v>
      </c>
      <c r="B16" t="str">
        <f t="shared" si="0"/>
        <v>Inativo</v>
      </c>
      <c r="C16" t="str">
        <f t="shared" si="1"/>
        <v>Missandei Tarly</v>
      </c>
      <c r="D16" s="15" t="s">
        <v>143</v>
      </c>
      <c r="E16" s="16">
        <v>200</v>
      </c>
      <c r="F16" s="16" t="str">
        <f t="shared" si="10"/>
        <v>000.000.002-00</v>
      </c>
      <c r="G16">
        <v>55</v>
      </c>
      <c r="H16">
        <f t="shared" ca="1" si="11"/>
        <v>55</v>
      </c>
      <c r="I16" s="12">
        <v>25892</v>
      </c>
      <c r="J16" t="s">
        <v>95</v>
      </c>
      <c r="K16" t="str">
        <f t="shared" si="2"/>
        <v>Ponta Tempestade</v>
      </c>
      <c r="L16" t="s">
        <v>144</v>
      </c>
      <c r="M16" t="str" cm="1">
        <f t="array" ref="M16">PROPER(IF(L16&lt;&gt;"",L16,_xlfn.XLOOKUP(1,($K$2:$K$398=K16)*($L$2:$L$398&lt;&gt;""),$L$2:$L$398,"")))</f>
        <v>Terras Da Tempestade</v>
      </c>
      <c r="N16">
        <v>5300</v>
      </c>
      <c r="O16">
        <f t="shared" si="3"/>
        <v>5300</v>
      </c>
      <c r="P16" s="14">
        <v>6500</v>
      </c>
      <c r="Q16" s="17">
        <f t="shared" si="4"/>
        <v>6500</v>
      </c>
      <c r="R16" t="s">
        <v>49</v>
      </c>
      <c r="S16" t="str">
        <f t="shared" si="5"/>
        <v>Não</v>
      </c>
      <c r="T16">
        <v>42</v>
      </c>
      <c r="U16">
        <f t="shared" si="6"/>
        <v>42</v>
      </c>
      <c r="V16" t="s">
        <v>49</v>
      </c>
      <c r="W16">
        <v>96000</v>
      </c>
      <c r="X16">
        <f t="shared" si="7"/>
        <v>96000</v>
      </c>
      <c r="Y16" t="str">
        <f t="shared" si="8"/>
        <v>Alto</v>
      </c>
      <c r="Z16" t="str">
        <f>IF(AND(Y16="Alto",S16="Sim"),"Negada","Aprovada")</f>
        <v>Aprovada</v>
      </c>
      <c r="AA16" t="str">
        <f t="shared" si="9"/>
        <v>Aprovada</v>
      </c>
      <c r="AB16" t="str">
        <f>IF(AND(Z16="Negada",AA16="Negada"),"Já foi negado",IF(B16="Ativo",X16*8%,"Não liberado"))</f>
        <v>Não liberado</v>
      </c>
    </row>
    <row r="17" spans="1:28">
      <c r="A17" t="s">
        <v>93</v>
      </c>
      <c r="B17" t="str">
        <f t="shared" si="0"/>
        <v>Inativo</v>
      </c>
      <c r="C17" t="str">
        <f t="shared" si="1"/>
        <v>Jeor Mallister</v>
      </c>
      <c r="D17" s="15" t="s">
        <v>145</v>
      </c>
      <c r="E17" s="16" t="s">
        <v>146</v>
      </c>
      <c r="F17" s="16" t="str">
        <f t="shared" si="10"/>
        <v>000.000.162-00</v>
      </c>
      <c r="G17">
        <v>47</v>
      </c>
      <c r="H17">
        <f t="shared" ca="1" si="11"/>
        <v>47</v>
      </c>
      <c r="I17" s="12">
        <v>29064</v>
      </c>
      <c r="J17" t="s">
        <v>147</v>
      </c>
      <c r="K17" t="str">
        <f t="shared" si="2"/>
        <v>Correrrio</v>
      </c>
      <c r="L17" t="s">
        <v>148</v>
      </c>
      <c r="M17" t="str" cm="1">
        <f t="array" ref="M17">PROPER(IF(L17&lt;&gt;"",L17,_xlfn.XLOOKUP(1,($K$2:$K$398=K17)*($L$2:$L$398&lt;&gt;""),$L$2:$L$398,"")))</f>
        <v>Terras Fluviais</v>
      </c>
      <c r="N17">
        <v>13300</v>
      </c>
      <c r="O17">
        <f t="shared" si="3"/>
        <v>13300</v>
      </c>
      <c r="P17">
        <v>1000</v>
      </c>
      <c r="Q17" s="17">
        <f t="shared" si="4"/>
        <v>1000</v>
      </c>
      <c r="R17" t="s">
        <v>50</v>
      </c>
      <c r="S17" t="str">
        <f t="shared" si="5"/>
        <v>Sim</v>
      </c>
      <c r="T17">
        <v>24</v>
      </c>
      <c r="U17">
        <f t="shared" si="6"/>
        <v>24</v>
      </c>
      <c r="V17" t="s">
        <v>50</v>
      </c>
      <c r="W17">
        <v>61500</v>
      </c>
      <c r="X17">
        <f t="shared" si="7"/>
        <v>61500</v>
      </c>
      <c r="Y17" t="str">
        <f t="shared" si="8"/>
        <v>Médio</v>
      </c>
      <c r="Z17" t="str">
        <f>IF(AND(Y17="Alto",S17="Sim"),"Negada","Aprovada")</f>
        <v>Aprovada</v>
      </c>
      <c r="AA17" t="str">
        <f t="shared" si="9"/>
        <v>Aprovada</v>
      </c>
      <c r="AB17" t="str">
        <f>IF(AND(Z17="Negada",AA17="Negada"),"Já foi negado",IF(B17="Ativo",X17*8%,"Não liberado"))</f>
        <v>Não liberado</v>
      </c>
    </row>
    <row r="18" spans="1:28">
      <c r="A18" t="s">
        <v>93</v>
      </c>
      <c r="B18" t="str">
        <f t="shared" si="0"/>
        <v>Inativo</v>
      </c>
      <c r="C18" t="str">
        <f t="shared" si="1"/>
        <v>Eddard Crakehall</v>
      </c>
      <c r="D18" s="15" t="s">
        <v>149</v>
      </c>
      <c r="E18" s="16">
        <v>31800</v>
      </c>
      <c r="F18" s="16" t="str">
        <f t="shared" si="10"/>
        <v>000.000.318-00</v>
      </c>
      <c r="G18">
        <v>43</v>
      </c>
      <c r="H18">
        <f t="shared" ca="1" si="11"/>
        <v>43</v>
      </c>
      <c r="I18" s="12">
        <v>30391</v>
      </c>
      <c r="J18" t="s">
        <v>150</v>
      </c>
      <c r="K18" t="str">
        <f t="shared" si="2"/>
        <v>Castelo Negro</v>
      </c>
      <c r="L18" t="s">
        <v>151</v>
      </c>
      <c r="M18" t="str" cm="1">
        <f t="array" ref="M18">PROPER(IF(L18&lt;&gt;"",L18,_xlfn.XLOOKUP(1,($K$2:$K$398=K18)*($L$2:$L$398&lt;&gt;""),$L$2:$L$398,"")))</f>
        <v>Norte</v>
      </c>
      <c r="N18">
        <v>7100</v>
      </c>
      <c r="O18">
        <f t="shared" si="3"/>
        <v>7100</v>
      </c>
      <c r="P18" t="s">
        <v>152</v>
      </c>
      <c r="Q18" s="17">
        <f t="shared" si="4"/>
        <v>5500</v>
      </c>
      <c r="R18" t="s">
        <v>49</v>
      </c>
      <c r="S18" t="str">
        <f t="shared" si="5"/>
        <v>Não</v>
      </c>
      <c r="T18">
        <v>23</v>
      </c>
      <c r="U18">
        <f t="shared" si="6"/>
        <v>23</v>
      </c>
      <c r="V18" t="s">
        <v>49</v>
      </c>
      <c r="W18">
        <v>67000</v>
      </c>
      <c r="X18">
        <f t="shared" si="7"/>
        <v>67000</v>
      </c>
      <c r="Y18" t="str">
        <f t="shared" si="8"/>
        <v>Médio</v>
      </c>
      <c r="Z18" t="str">
        <f>IF(AND(Y18="Alto",S18="Sim"),"Negada","Aprovada")</f>
        <v>Aprovada</v>
      </c>
      <c r="AA18" t="str">
        <f t="shared" si="9"/>
        <v>Aprovada</v>
      </c>
      <c r="AB18" t="str">
        <f>IF(AND(Z18="Negada",AA18="Negada"),"Já foi negado",IF(B18="Ativo",X18*8%,"Não liberado"))</f>
        <v>Não liberado</v>
      </c>
    </row>
    <row r="19" spans="1:28">
      <c r="A19" t="s">
        <v>88</v>
      </c>
      <c r="B19" t="str">
        <f t="shared" si="0"/>
        <v>Ativo</v>
      </c>
      <c r="C19" t="str">
        <f t="shared" si="1"/>
        <v>Podrick Swyft</v>
      </c>
      <c r="D19" s="15" t="s">
        <v>153</v>
      </c>
      <c r="E19" s="16" t="s">
        <v>154</v>
      </c>
      <c r="F19" s="16" t="str">
        <f t="shared" si="10"/>
        <v>000.000.090-00</v>
      </c>
      <c r="G19">
        <v>32</v>
      </c>
      <c r="H19">
        <f t="shared" ca="1" si="11"/>
        <v>32</v>
      </c>
      <c r="I19" s="12">
        <v>34457</v>
      </c>
      <c r="J19" t="s">
        <v>147</v>
      </c>
      <c r="K19" t="str">
        <f t="shared" si="2"/>
        <v>Correrrio</v>
      </c>
      <c r="L19" t="s">
        <v>155</v>
      </c>
      <c r="M19" t="str" cm="1">
        <f t="array" ref="M19">PROPER(IF(L19&lt;&gt;"",L19,_xlfn.XLOOKUP(1,($K$2:$K$398=K19)*($L$2:$L$398&lt;&gt;""),$L$2:$L$398,"")))</f>
        <v>Terras Fluviais</v>
      </c>
      <c r="N19" s="14">
        <v>21300</v>
      </c>
      <c r="O19">
        <f t="shared" si="3"/>
        <v>21300</v>
      </c>
      <c r="P19" s="13">
        <v>48000</v>
      </c>
      <c r="Q19" s="17">
        <f t="shared" si="4"/>
        <v>48000</v>
      </c>
      <c r="R19" t="s">
        <v>49</v>
      </c>
      <c r="S19" t="str">
        <f t="shared" si="5"/>
        <v>Não</v>
      </c>
      <c r="T19">
        <v>11</v>
      </c>
      <c r="U19">
        <f t="shared" si="6"/>
        <v>11</v>
      </c>
      <c r="V19" t="s">
        <v>49</v>
      </c>
      <c r="W19">
        <v>35000</v>
      </c>
      <c r="X19">
        <f t="shared" si="7"/>
        <v>35000</v>
      </c>
      <c r="Y19" t="str">
        <f t="shared" si="8"/>
        <v>Médio</v>
      </c>
      <c r="Z19" t="str">
        <f>IF(AND(Y19="Alto",S19="Sim"),"Negada","Aprovada")</f>
        <v>Aprovada</v>
      </c>
      <c r="AA19" t="str">
        <f t="shared" si="9"/>
        <v>Aprovada</v>
      </c>
      <c r="AB19">
        <f>IF(AND(Z19="Negada",AA19="Negada"),"Já foi negado",IF(B19="Ativo",X19*8%,"Não liberado"))</f>
        <v>2800</v>
      </c>
    </row>
    <row r="20" spans="1:28">
      <c r="A20" t="s">
        <v>88</v>
      </c>
      <c r="B20" t="str">
        <f t="shared" si="0"/>
        <v>Ativo</v>
      </c>
      <c r="C20" t="str">
        <f t="shared" si="1"/>
        <v>Podrick Dayne</v>
      </c>
      <c r="D20" s="15" t="s">
        <v>156</v>
      </c>
      <c r="E20" s="16">
        <v>22300</v>
      </c>
      <c r="F20" s="16" t="str">
        <f t="shared" si="10"/>
        <v>000.000.223-00</v>
      </c>
      <c r="G20">
        <v>25</v>
      </c>
      <c r="H20">
        <f t="shared" ca="1" si="11"/>
        <v>25</v>
      </c>
      <c r="I20" s="12">
        <v>36831</v>
      </c>
      <c r="J20" t="s">
        <v>157</v>
      </c>
      <c r="K20" t="str">
        <f t="shared" si="2"/>
        <v>Vilavelha</v>
      </c>
      <c r="L20" t="s">
        <v>158</v>
      </c>
      <c r="M20" t="str" cm="1">
        <f t="array" ref="M20">PROPER(IF(L20&lt;&gt;"",L20,_xlfn.XLOOKUP(1,($K$2:$K$398=K20)*($L$2:$L$398&lt;&gt;""),$L$2:$L$398,"")))</f>
        <v>Campina</v>
      </c>
      <c r="N20" s="14">
        <v>9400</v>
      </c>
      <c r="O20">
        <f t="shared" si="3"/>
        <v>9400</v>
      </c>
      <c r="P20">
        <v>51500</v>
      </c>
      <c r="Q20" s="17">
        <f t="shared" si="4"/>
        <v>51500</v>
      </c>
      <c r="R20" t="s">
        <v>49</v>
      </c>
      <c r="S20" t="str">
        <f t="shared" si="5"/>
        <v>Não</v>
      </c>
      <c r="T20">
        <v>14</v>
      </c>
      <c r="U20">
        <f t="shared" si="6"/>
        <v>14</v>
      </c>
      <c r="V20" t="s">
        <v>49</v>
      </c>
      <c r="W20">
        <v>29500</v>
      </c>
      <c r="X20">
        <f t="shared" si="7"/>
        <v>29500</v>
      </c>
      <c r="Y20" t="str">
        <f t="shared" si="8"/>
        <v>Médio</v>
      </c>
      <c r="Z20" t="str">
        <f>IF(AND(Y20="Alto",S20="Sim"),"Negada","Aprovada")</f>
        <v>Aprovada</v>
      </c>
      <c r="AA20" t="str">
        <f t="shared" si="9"/>
        <v>Aprovada</v>
      </c>
      <c r="AB20">
        <f>IF(AND(Z20="Negada",AA20="Negada"),"Já foi negado",IF(B20="Ativo",X20*8%,"Não liberado"))</f>
        <v>2360</v>
      </c>
    </row>
    <row r="21" spans="1:28">
      <c r="A21" t="s">
        <v>88</v>
      </c>
      <c r="B21" t="str">
        <f t="shared" si="0"/>
        <v>Ativo</v>
      </c>
      <c r="C21" t="str">
        <f t="shared" si="1"/>
        <v>Ellaria Seaworth</v>
      </c>
      <c r="D21" s="15" t="s">
        <v>159</v>
      </c>
      <c r="E21" s="16" t="s">
        <v>160</v>
      </c>
      <c r="F21" s="16" t="str">
        <f t="shared" si="10"/>
        <v>000.000.125-00</v>
      </c>
      <c r="G21">
        <v>23</v>
      </c>
      <c r="H21">
        <f t="shared" ca="1" si="11"/>
        <v>23</v>
      </c>
      <c r="I21" s="12">
        <v>37627</v>
      </c>
      <c r="J21" t="s">
        <v>147</v>
      </c>
      <c r="K21" t="str">
        <f t="shared" si="2"/>
        <v>Correrrio</v>
      </c>
      <c r="L21" t="s">
        <v>155</v>
      </c>
      <c r="M21" t="str" cm="1">
        <f t="array" ref="M21">PROPER(IF(L21&lt;&gt;"",L21,_xlfn.XLOOKUP(1,($K$2:$K$398=K21)*($L$2:$L$398&lt;&gt;""),$L$2:$L$398,"")))</f>
        <v>Terras Fluviais</v>
      </c>
      <c r="O21" t="str">
        <f>IF(N21="","Não informado",IFERROR(VALUE(SUBSTITUTE(SUBSTITUTE(N21,"R$ ","")," moedas","")),N21))</f>
        <v>Não informado</v>
      </c>
      <c r="P21">
        <v>69000</v>
      </c>
      <c r="Q21" s="17">
        <f t="shared" si="4"/>
        <v>69000</v>
      </c>
      <c r="R21" t="s">
        <v>49</v>
      </c>
      <c r="S21" t="str">
        <f t="shared" si="5"/>
        <v>Não</v>
      </c>
      <c r="T21">
        <v>20</v>
      </c>
      <c r="U21">
        <f t="shared" si="6"/>
        <v>20</v>
      </c>
      <c r="V21" t="s">
        <v>49</v>
      </c>
      <c r="W21">
        <v>69000</v>
      </c>
      <c r="X21">
        <f t="shared" si="7"/>
        <v>69000</v>
      </c>
      <c r="Y21" t="str">
        <f t="shared" si="8"/>
        <v>Médio</v>
      </c>
      <c r="Z21" t="str">
        <f>IF(AND(Y21="Alto",S21="Sim"),"Negada","Aprovada")</f>
        <v>Aprovada</v>
      </c>
      <c r="AA21" t="str">
        <f t="shared" si="9"/>
        <v>Aprovada</v>
      </c>
      <c r="AB21">
        <f>IF(AND(Z21="Negada",AA21="Negada"),"Já foi negado",IF(B21="Ativo",X21*8%,"Não liberado"))</f>
        <v>5520</v>
      </c>
    </row>
    <row r="22" spans="1:28">
      <c r="A22" t="s">
        <v>93</v>
      </c>
      <c r="B22" t="str">
        <f t="shared" si="0"/>
        <v>Inativo</v>
      </c>
      <c r="C22" t="str">
        <f t="shared" si="1"/>
        <v>Melisandre Clegane</v>
      </c>
      <c r="D22" s="15" t="s">
        <v>161</v>
      </c>
      <c r="E22" s="16" t="s">
        <v>162</v>
      </c>
      <c r="F22" s="16" t="str">
        <f t="shared" si="10"/>
        <v>000.000.231-00</v>
      </c>
      <c r="G22">
        <v>53</v>
      </c>
      <c r="H22">
        <f t="shared" ca="1" si="11"/>
        <v>53</v>
      </c>
      <c r="I22" s="12">
        <v>26629</v>
      </c>
      <c r="J22" t="s">
        <v>163</v>
      </c>
      <c r="K22" t="str">
        <f t="shared" si="2"/>
        <v>Ilha dos Ursos</v>
      </c>
      <c r="L22" t="s">
        <v>164</v>
      </c>
      <c r="M22" t="str" cm="1">
        <f t="array" ref="M22">PROPER(IF(L22&lt;&gt;"",L22,_xlfn.XLOOKUP(1,($K$2:$K$398=K22)*($L$2:$L$398&lt;&gt;""),$L$2:$L$398,"")))</f>
        <v>Norte</v>
      </c>
      <c r="N22" s="14">
        <v>16500</v>
      </c>
      <c r="O22">
        <f t="shared" ref="O22:O85" si="12">IF(N22="","Não informado",IFERROR(VALUE(SUBSTITUTE(SUBSTITUTE(N22,"R$ ","")," moedas","")),N22))</f>
        <v>16500</v>
      </c>
      <c r="P22" s="13">
        <v>4000</v>
      </c>
      <c r="Q22" s="17">
        <f t="shared" si="4"/>
        <v>4000</v>
      </c>
      <c r="R22" t="s">
        <v>49</v>
      </c>
      <c r="S22" t="str">
        <f t="shared" si="5"/>
        <v>Não</v>
      </c>
      <c r="T22">
        <v>14</v>
      </c>
      <c r="U22">
        <f t="shared" si="6"/>
        <v>14</v>
      </c>
      <c r="V22" t="s">
        <v>49</v>
      </c>
      <c r="W22">
        <v>36000</v>
      </c>
      <c r="X22">
        <f t="shared" si="7"/>
        <v>36000</v>
      </c>
      <c r="Y22" t="str">
        <f t="shared" si="8"/>
        <v>Médio</v>
      </c>
      <c r="Z22" t="str">
        <f>IF(AND(Y22="Alto",S22="Sim"),"Negada","Aprovada")</f>
        <v>Aprovada</v>
      </c>
      <c r="AA22" t="str">
        <f t="shared" si="9"/>
        <v>Aprovada</v>
      </c>
      <c r="AB22" t="str">
        <f>IF(AND(Z22="Negada",AA22="Negada"),"Já foi negado",IF(B22="Ativo",X22*8%,"Não liberado"))</f>
        <v>Não liberado</v>
      </c>
    </row>
    <row r="23" spans="1:28">
      <c r="A23" t="s">
        <v>88</v>
      </c>
      <c r="B23" t="str">
        <f t="shared" si="0"/>
        <v>Ativo</v>
      </c>
      <c r="C23" t="str">
        <f t="shared" si="1"/>
        <v>Robert Karstark</v>
      </c>
      <c r="D23" s="15" t="s">
        <v>165</v>
      </c>
      <c r="E23" s="16" t="s">
        <v>166</v>
      </c>
      <c r="F23" s="16" t="str">
        <f t="shared" si="10"/>
        <v>000.000.184-00</v>
      </c>
      <c r="H23">
        <f t="shared" ca="1" si="11"/>
        <v>68</v>
      </c>
      <c r="I23" s="12">
        <v>21378</v>
      </c>
      <c r="J23" t="s">
        <v>130</v>
      </c>
      <c r="K23" t="str">
        <f t="shared" si="2"/>
        <v>Meereen</v>
      </c>
      <c r="M23" t="str" cm="1">
        <f t="array" ref="M23">PROPER(IF(L23&lt;&gt;"",L23,_xlfn.XLOOKUP(1,($K$2:$K$398=K23)*($L$2:$L$398&lt;&gt;""),$L$2:$L$398,"")))</f>
        <v>Essos</v>
      </c>
      <c r="N23">
        <v>14300</v>
      </c>
      <c r="O23">
        <f t="shared" si="12"/>
        <v>14300</v>
      </c>
      <c r="P23">
        <v>32500</v>
      </c>
      <c r="Q23" s="17">
        <f t="shared" si="4"/>
        <v>32500</v>
      </c>
      <c r="R23" t="s">
        <v>50</v>
      </c>
      <c r="S23" t="str">
        <f t="shared" si="5"/>
        <v>Sim</v>
      </c>
      <c r="T23">
        <v>15</v>
      </c>
      <c r="U23">
        <f t="shared" si="6"/>
        <v>15</v>
      </c>
      <c r="V23" t="s">
        <v>50</v>
      </c>
      <c r="W23">
        <v>8000</v>
      </c>
      <c r="X23">
        <f t="shared" si="7"/>
        <v>8000</v>
      </c>
      <c r="Y23" t="str">
        <f t="shared" si="8"/>
        <v>Médio</v>
      </c>
      <c r="Z23" t="str">
        <f>IF(AND(Y23="Alto",S23="Sim"),"Negada","Aprovada")</f>
        <v>Aprovada</v>
      </c>
      <c r="AA23" t="str">
        <f t="shared" si="9"/>
        <v>Aprovada</v>
      </c>
      <c r="AB23">
        <f>IF(AND(Z23="Negada",AA23="Negada"),"Já foi negado",IF(B23="Ativo",X23*8%,"Não liberado"))</f>
        <v>640</v>
      </c>
    </row>
    <row r="24" spans="1:28">
      <c r="A24" t="s">
        <v>93</v>
      </c>
      <c r="B24" t="str">
        <f t="shared" si="0"/>
        <v>Inativo</v>
      </c>
      <c r="C24" t="str">
        <f t="shared" si="1"/>
        <v>Rhaegar Stark</v>
      </c>
      <c r="D24" s="15" t="s">
        <v>167</v>
      </c>
      <c r="E24" s="16" t="s">
        <v>168</v>
      </c>
      <c r="F24" s="16" t="str">
        <f t="shared" si="10"/>
        <v>000.000.119-00</v>
      </c>
      <c r="G24">
        <v>33</v>
      </c>
      <c r="H24">
        <f t="shared" ca="1" si="11"/>
        <v>33</v>
      </c>
      <c r="I24" s="12">
        <v>34082</v>
      </c>
      <c r="J24" t="s">
        <v>130</v>
      </c>
      <c r="K24" t="str">
        <f t="shared" si="2"/>
        <v>Meereen</v>
      </c>
      <c r="L24" t="s">
        <v>131</v>
      </c>
      <c r="M24" t="str" cm="1">
        <f t="array" ref="M24">PROPER(IF(L24&lt;&gt;"",L24,_xlfn.XLOOKUP(1,($K$2:$K$398=K24)*($L$2:$L$398&lt;&gt;""),$L$2:$L$398,"")))</f>
        <v>Essos</v>
      </c>
      <c r="N24">
        <v>23600</v>
      </c>
      <c r="O24">
        <f t="shared" si="12"/>
        <v>23600</v>
      </c>
      <c r="P24" s="14">
        <v>75500</v>
      </c>
      <c r="Q24" s="17">
        <f t="shared" si="4"/>
        <v>75500</v>
      </c>
      <c r="R24" t="s">
        <v>49</v>
      </c>
      <c r="S24" t="str">
        <f t="shared" si="5"/>
        <v>Não</v>
      </c>
      <c r="T24">
        <v>16</v>
      </c>
      <c r="U24">
        <f t="shared" si="6"/>
        <v>16</v>
      </c>
      <c r="V24" t="s">
        <v>49</v>
      </c>
      <c r="W24">
        <v>88000</v>
      </c>
      <c r="X24">
        <f t="shared" si="7"/>
        <v>88000</v>
      </c>
      <c r="Y24" t="str">
        <f t="shared" si="8"/>
        <v>Médio</v>
      </c>
      <c r="Z24" t="str">
        <f>IF(AND(Y24="Alto",S24="Sim"),"Negada","Aprovada")</f>
        <v>Aprovada</v>
      </c>
      <c r="AA24" t="str">
        <f t="shared" si="9"/>
        <v>Aprovada</v>
      </c>
      <c r="AB24" t="str">
        <f>IF(AND(Z24="Negada",AA24="Negada"),"Já foi negado",IF(B24="Ativo",X24*8%,"Não liberado"))</f>
        <v>Não liberado</v>
      </c>
    </row>
    <row r="25" spans="1:28">
      <c r="A25" t="s">
        <v>88</v>
      </c>
      <c r="B25" t="str">
        <f t="shared" si="0"/>
        <v>Ativo</v>
      </c>
      <c r="C25" t="str">
        <f t="shared" si="1"/>
        <v>Loras Greyjoy</v>
      </c>
      <c r="D25" s="15" t="s">
        <v>169</v>
      </c>
      <c r="E25" s="16" t="s">
        <v>170</v>
      </c>
      <c r="F25" s="16" t="str">
        <f t="shared" si="10"/>
        <v>000.000.362-00</v>
      </c>
      <c r="G25">
        <v>68</v>
      </c>
      <c r="H25">
        <f t="shared" ca="1" si="11"/>
        <v>68</v>
      </c>
      <c r="I25" s="12">
        <v>21145</v>
      </c>
      <c r="J25" t="s">
        <v>171</v>
      </c>
      <c r="K25" t="str">
        <f t="shared" si="2"/>
        <v>Fosso Cailin</v>
      </c>
      <c r="L25" t="s">
        <v>151</v>
      </c>
      <c r="M25" t="str" cm="1">
        <f t="array" ref="M25">PROPER(IF(L25&lt;&gt;"",L25,_xlfn.XLOOKUP(1,($K$2:$K$398=K25)*($L$2:$L$398&lt;&gt;""),$L$2:$L$398,"")))</f>
        <v>Norte</v>
      </c>
      <c r="N25">
        <v>29000</v>
      </c>
      <c r="O25">
        <f t="shared" si="12"/>
        <v>29000</v>
      </c>
      <c r="P25">
        <v>67500</v>
      </c>
      <c r="Q25" s="17">
        <f t="shared" si="4"/>
        <v>67500</v>
      </c>
      <c r="R25" t="s">
        <v>49</v>
      </c>
      <c r="S25" t="str">
        <f t="shared" si="5"/>
        <v>Não</v>
      </c>
      <c r="T25">
        <v>25</v>
      </c>
      <c r="U25">
        <f t="shared" si="6"/>
        <v>25</v>
      </c>
      <c r="V25" t="s">
        <v>49</v>
      </c>
      <c r="W25">
        <v>18000</v>
      </c>
      <c r="X25">
        <f t="shared" si="7"/>
        <v>18000</v>
      </c>
      <c r="Y25" t="str">
        <f t="shared" si="8"/>
        <v>Médio</v>
      </c>
      <c r="Z25" t="str">
        <f>IF(AND(Y25="Alto",S25="Sim"),"Negada","Aprovada")</f>
        <v>Aprovada</v>
      </c>
      <c r="AA25" t="str">
        <f t="shared" si="9"/>
        <v>Aprovada</v>
      </c>
      <c r="AB25">
        <f>IF(AND(Z25="Negada",AA25="Negada"),"Já foi negado",IF(B25="Ativo",X25*8%,"Não liberado"))</f>
        <v>1440</v>
      </c>
    </row>
    <row r="26" spans="1:28">
      <c r="A26" t="s">
        <v>93</v>
      </c>
      <c r="B26" t="str">
        <f t="shared" si="0"/>
        <v>Inativo</v>
      </c>
      <c r="C26" t="str">
        <f t="shared" si="1"/>
        <v>Jorah Hightower</v>
      </c>
      <c r="D26" s="15" t="s">
        <v>172</v>
      </c>
      <c r="E26" s="16" t="s">
        <v>173</v>
      </c>
      <c r="F26" s="16" t="str">
        <f t="shared" si="10"/>
        <v>000.000.346-00</v>
      </c>
      <c r="G26">
        <v>62</v>
      </c>
      <c r="H26">
        <f t="shared" ca="1" si="11"/>
        <v>63</v>
      </c>
      <c r="I26" s="12">
        <v>23259</v>
      </c>
      <c r="J26" t="s">
        <v>100</v>
      </c>
      <c r="K26" t="str">
        <f t="shared" si="2"/>
        <v>Pedra do Dragão</v>
      </c>
      <c r="L26" t="s">
        <v>174</v>
      </c>
      <c r="M26" t="str" cm="1">
        <f t="array" ref="M26">PROPER(IF(L26&lt;&gt;"",L26,_xlfn.XLOOKUP(1,($K$2:$K$398=K26)*($L$2:$L$398&lt;&gt;""),$L$2:$L$398,"")))</f>
        <v>Terras Da Coroa</v>
      </c>
      <c r="O26" t="str">
        <f t="shared" si="12"/>
        <v>Não informado</v>
      </c>
      <c r="P26">
        <v>0</v>
      </c>
      <c r="Q26" s="17">
        <f t="shared" si="4"/>
        <v>0</v>
      </c>
      <c r="R26" t="s">
        <v>50</v>
      </c>
      <c r="S26" t="str">
        <f t="shared" si="5"/>
        <v>Sim</v>
      </c>
      <c r="T26" t="s">
        <v>175</v>
      </c>
      <c r="U26">
        <f t="shared" si="6"/>
        <v>1</v>
      </c>
      <c r="V26" t="s">
        <v>50</v>
      </c>
      <c r="W26">
        <v>12000</v>
      </c>
      <c r="X26">
        <f t="shared" si="7"/>
        <v>12000</v>
      </c>
      <c r="Y26" t="str">
        <f t="shared" si="8"/>
        <v>Baixo</v>
      </c>
      <c r="Z26" t="str">
        <f>IF(AND(Y26="Alto",S26="Sim"),"Negada","Aprovada")</f>
        <v>Aprovada</v>
      </c>
      <c r="AA26" t="str">
        <f t="shared" si="9"/>
        <v>Aprovada</v>
      </c>
      <c r="AB26" t="str">
        <f>IF(AND(Z26="Negada",AA26="Negada"),"Já foi negado",IF(B26="Ativo",X26*8%,"Não liberado"))</f>
        <v>Não liberado</v>
      </c>
    </row>
    <row r="27" spans="1:28">
      <c r="A27" t="s">
        <v>88</v>
      </c>
      <c r="B27" t="str">
        <f t="shared" si="0"/>
        <v>Ativo</v>
      </c>
      <c r="C27" t="str">
        <f t="shared" si="1"/>
        <v>Loras Clegane</v>
      </c>
      <c r="D27" s="15" t="s">
        <v>176</v>
      </c>
      <c r="E27" s="16" t="s">
        <v>177</v>
      </c>
      <c r="F27" s="16" t="str">
        <f t="shared" si="10"/>
        <v>000.000.287-00</v>
      </c>
      <c r="G27">
        <v>58</v>
      </c>
      <c r="H27">
        <f t="shared" ca="1" si="11"/>
        <v>58</v>
      </c>
      <c r="I27" s="12">
        <v>24911</v>
      </c>
      <c r="J27" t="s">
        <v>178</v>
      </c>
      <c r="K27" t="str">
        <f t="shared" si="2"/>
        <v>Harrenhal</v>
      </c>
      <c r="L27" t="s">
        <v>148</v>
      </c>
      <c r="M27" t="str" cm="1">
        <f t="array" ref="M27">PROPER(IF(L27&lt;&gt;"",L27,_xlfn.XLOOKUP(1,($K$2:$K$398=K27)*($L$2:$L$398&lt;&gt;""),$L$2:$L$398,"")))</f>
        <v>Terras Fluviais</v>
      </c>
      <c r="N27" s="13">
        <v>25400</v>
      </c>
      <c r="O27">
        <f t="shared" si="12"/>
        <v>25400</v>
      </c>
      <c r="P27">
        <v>70500</v>
      </c>
      <c r="Q27" s="17">
        <f t="shared" si="4"/>
        <v>70500</v>
      </c>
      <c r="R27" t="s">
        <v>50</v>
      </c>
      <c r="S27" t="str">
        <f t="shared" si="5"/>
        <v>Sim</v>
      </c>
      <c r="T27">
        <v>11</v>
      </c>
      <c r="U27">
        <f t="shared" si="6"/>
        <v>11</v>
      </c>
      <c r="V27" t="s">
        <v>50</v>
      </c>
      <c r="W27">
        <v>47000</v>
      </c>
      <c r="X27">
        <f t="shared" si="7"/>
        <v>47000</v>
      </c>
      <c r="Y27" t="str">
        <f t="shared" si="8"/>
        <v>Médio</v>
      </c>
      <c r="Z27" t="str">
        <f>IF(AND(Y27="Alto",S27="Sim"),"Negada","Aprovada")</f>
        <v>Aprovada</v>
      </c>
      <c r="AA27" t="str">
        <f t="shared" si="9"/>
        <v>Negada</v>
      </c>
      <c r="AB27">
        <f>IF(AND(Z27="Negada",AA27="Negada"),"Já foi negado",IF(B27="Ativo",X27*8%,"Não liberado"))</f>
        <v>3760</v>
      </c>
    </row>
    <row r="28" spans="1:28">
      <c r="A28" t="s">
        <v>88</v>
      </c>
      <c r="B28" t="str">
        <f t="shared" si="0"/>
        <v>Ativo</v>
      </c>
      <c r="C28" t="str">
        <f t="shared" si="1"/>
        <v>Jojen Florent</v>
      </c>
      <c r="D28" s="15" t="s">
        <v>108</v>
      </c>
      <c r="E28" s="16">
        <v>34300</v>
      </c>
      <c r="F28" s="16" t="str">
        <f t="shared" si="10"/>
        <v>000.000.343-00</v>
      </c>
      <c r="G28">
        <v>48</v>
      </c>
      <c r="H28">
        <f t="shared" ca="1" si="11"/>
        <v>48</v>
      </c>
      <c r="I28" s="12">
        <v>28408</v>
      </c>
      <c r="J28" t="s">
        <v>179</v>
      </c>
      <c r="K28" t="str">
        <f t="shared" si="2"/>
        <v>Winterfell</v>
      </c>
      <c r="M28" t="str" cm="1">
        <f t="array" ref="M28">PROPER(IF(L28&lt;&gt;"",L28,_xlfn.XLOOKUP(1,($K$2:$K$398=K28)*($L$2:$L$398&lt;&gt;""),$L$2:$L$398,"")))</f>
        <v>Norte</v>
      </c>
      <c r="N28" s="14">
        <v>13300</v>
      </c>
      <c r="O28">
        <f t="shared" si="12"/>
        <v>13300</v>
      </c>
      <c r="P28">
        <v>42000</v>
      </c>
      <c r="Q28" s="17">
        <f t="shared" si="4"/>
        <v>42000</v>
      </c>
      <c r="R28" t="s">
        <v>50</v>
      </c>
      <c r="S28" t="str">
        <f t="shared" si="5"/>
        <v>Sim</v>
      </c>
      <c r="T28">
        <v>27</v>
      </c>
      <c r="U28">
        <f t="shared" si="6"/>
        <v>27</v>
      </c>
      <c r="V28" t="s">
        <v>50</v>
      </c>
      <c r="W28">
        <v>40000</v>
      </c>
      <c r="X28">
        <f t="shared" si="7"/>
        <v>40000</v>
      </c>
      <c r="Y28" t="str">
        <f t="shared" si="8"/>
        <v>Alto</v>
      </c>
      <c r="Z28" t="str">
        <f>IF(AND(Y28="Alto",S28="Sim"),"Negada","Aprovada")</f>
        <v>Negada</v>
      </c>
      <c r="AA28" t="str">
        <f t="shared" si="9"/>
        <v>Aprovada</v>
      </c>
      <c r="AB28">
        <f>IF(AND(Z28="Negada",AA28="Negada"),"Já foi negado",IF(B28="Ativo",X28*8%,"Não liberado"))</f>
        <v>3200</v>
      </c>
    </row>
    <row r="29" spans="1:28">
      <c r="A29" t="s">
        <v>88</v>
      </c>
      <c r="B29" t="str">
        <f t="shared" si="0"/>
        <v>Ativo</v>
      </c>
      <c r="C29" t="str">
        <f t="shared" si="1"/>
        <v>Samwell Yronwood</v>
      </c>
      <c r="D29" s="15" t="s">
        <v>180</v>
      </c>
      <c r="E29" s="16" t="s">
        <v>181</v>
      </c>
      <c r="F29" s="16" t="str">
        <f t="shared" si="10"/>
        <v>000.000.124-00</v>
      </c>
      <c r="G29">
        <v>29</v>
      </c>
      <c r="H29">
        <f t="shared" ca="1" si="11"/>
        <v>29</v>
      </c>
      <c r="I29" s="12">
        <v>35323</v>
      </c>
      <c r="J29" t="s">
        <v>182</v>
      </c>
      <c r="K29" t="str">
        <f t="shared" si="2"/>
        <v>Jardim de Cima</v>
      </c>
      <c r="L29" t="s">
        <v>158</v>
      </c>
      <c r="M29" t="str" cm="1">
        <f t="array" ref="M29">PROPER(IF(L29&lt;&gt;"",L29,_xlfn.XLOOKUP(1,($K$2:$K$398=K29)*($L$2:$L$398&lt;&gt;""),$L$2:$L$398,"")))</f>
        <v>Campina</v>
      </c>
      <c r="N29">
        <v>21200</v>
      </c>
      <c r="O29">
        <f t="shared" si="12"/>
        <v>21200</v>
      </c>
      <c r="P29">
        <v>75000</v>
      </c>
      <c r="Q29" s="17">
        <f t="shared" si="4"/>
        <v>75000</v>
      </c>
      <c r="R29" t="s">
        <v>49</v>
      </c>
      <c r="S29" t="str">
        <f t="shared" si="5"/>
        <v>Não</v>
      </c>
      <c r="T29">
        <v>6</v>
      </c>
      <c r="U29">
        <f t="shared" si="6"/>
        <v>6</v>
      </c>
      <c r="V29" t="s">
        <v>49</v>
      </c>
      <c r="W29">
        <v>63500</v>
      </c>
      <c r="X29">
        <f t="shared" si="7"/>
        <v>63500</v>
      </c>
      <c r="Y29" t="str">
        <f t="shared" si="8"/>
        <v>Baixo</v>
      </c>
      <c r="Z29" t="str">
        <f>IF(AND(Y29="Alto",S29="Sim"),"Negada","Aprovada")</f>
        <v>Aprovada</v>
      </c>
      <c r="AA29" t="str">
        <f t="shared" si="9"/>
        <v>Aprovada</v>
      </c>
      <c r="AB29">
        <f>IF(AND(Z29="Negada",AA29="Negada"),"Já foi negado",IF(B29="Ativo",X29*8%,"Não liberado"))</f>
        <v>5080</v>
      </c>
    </row>
    <row r="30" spans="1:28">
      <c r="A30" t="s">
        <v>183</v>
      </c>
      <c r="B30" t="str">
        <f t="shared" si="0"/>
        <v>Ativo</v>
      </c>
      <c r="C30" t="str">
        <f t="shared" si="1"/>
        <v>Catelyn Yronwood</v>
      </c>
      <c r="D30" s="15" t="s">
        <v>184</v>
      </c>
      <c r="E30" s="16" t="s">
        <v>185</v>
      </c>
      <c r="F30" s="16" t="str">
        <f t="shared" si="10"/>
        <v>000.000.226-00</v>
      </c>
      <c r="G30">
        <v>38</v>
      </c>
      <c r="H30">
        <f t="shared" ca="1" si="11"/>
        <v>38</v>
      </c>
      <c r="I30" s="12">
        <v>32166</v>
      </c>
      <c r="J30" t="s">
        <v>150</v>
      </c>
      <c r="K30" t="str">
        <f t="shared" si="2"/>
        <v>Castelo Negro</v>
      </c>
      <c r="L30" t="s">
        <v>186</v>
      </c>
      <c r="M30" t="str" cm="1">
        <f t="array" ref="M30">PROPER(IF(L30&lt;&gt;"",L30,_xlfn.XLOOKUP(1,($K$2:$K$398=K30)*($L$2:$L$398&lt;&gt;""),$L$2:$L$398,"")))</f>
        <v>Norte</v>
      </c>
      <c r="N30" t="s">
        <v>137</v>
      </c>
      <c r="O30">
        <f t="shared" si="12"/>
        <v>19500</v>
      </c>
      <c r="P30">
        <v>39000</v>
      </c>
      <c r="Q30" s="17">
        <f t="shared" si="4"/>
        <v>39000</v>
      </c>
      <c r="R30" t="s">
        <v>49</v>
      </c>
      <c r="S30" t="str">
        <f t="shared" si="5"/>
        <v>Não</v>
      </c>
      <c r="T30">
        <v>25</v>
      </c>
      <c r="U30">
        <f t="shared" si="6"/>
        <v>25</v>
      </c>
      <c r="V30" t="s">
        <v>49</v>
      </c>
      <c r="W30">
        <v>88500</v>
      </c>
      <c r="X30">
        <f t="shared" si="7"/>
        <v>88500</v>
      </c>
      <c r="Y30" t="str">
        <f t="shared" si="8"/>
        <v>Médio</v>
      </c>
      <c r="Z30" t="str">
        <f>IF(AND(Y30="Alto",S30="Sim"),"Negada","Aprovada")</f>
        <v>Aprovada</v>
      </c>
      <c r="AA30" t="str">
        <f t="shared" si="9"/>
        <v>Aprovada</v>
      </c>
      <c r="AB30">
        <f>IF(AND(Z30="Negada",AA30="Negada"),"Já foi negado",IF(B30="Ativo",X30*8%,"Não liberado"))</f>
        <v>7080</v>
      </c>
    </row>
    <row r="31" spans="1:28">
      <c r="A31" t="s">
        <v>93</v>
      </c>
      <c r="B31" t="str">
        <f t="shared" si="0"/>
        <v>Inativo</v>
      </c>
      <c r="C31" t="str">
        <f t="shared" si="1"/>
        <v>Brienne Reed</v>
      </c>
      <c r="D31" s="15" t="s">
        <v>187</v>
      </c>
      <c r="E31" s="16" t="s">
        <v>188</v>
      </c>
      <c r="F31" s="16" t="str">
        <f t="shared" si="10"/>
        <v>000.000.306-00</v>
      </c>
      <c r="G31">
        <v>68</v>
      </c>
      <c r="H31">
        <f t="shared" ca="1" si="11"/>
        <v>68</v>
      </c>
      <c r="I31" s="12">
        <v>21293</v>
      </c>
      <c r="J31" t="s">
        <v>121</v>
      </c>
      <c r="K31" t="str">
        <f t="shared" si="2"/>
        <v>Pyke</v>
      </c>
      <c r="L31" t="s">
        <v>141</v>
      </c>
      <c r="M31" t="str" cm="1">
        <f t="array" ref="M31">PROPER(IF(L31&lt;&gt;"",L31,_xlfn.XLOOKUP(1,($K$2:$K$398=K31)*($L$2:$L$398&lt;&gt;""),$L$2:$L$398,"")))</f>
        <v>Ilhas De Ferro</v>
      </c>
      <c r="N31">
        <v>3800</v>
      </c>
      <c r="O31">
        <f t="shared" si="12"/>
        <v>3800</v>
      </c>
      <c r="P31">
        <v>70000</v>
      </c>
      <c r="Q31" s="17">
        <f t="shared" si="4"/>
        <v>70000</v>
      </c>
      <c r="R31" t="s">
        <v>50</v>
      </c>
      <c r="S31" t="str">
        <f t="shared" si="5"/>
        <v>Sim</v>
      </c>
      <c r="T31">
        <v>34</v>
      </c>
      <c r="U31">
        <f t="shared" si="6"/>
        <v>34</v>
      </c>
      <c r="V31" t="s">
        <v>50</v>
      </c>
      <c r="W31">
        <v>7500</v>
      </c>
      <c r="X31">
        <f t="shared" si="7"/>
        <v>7500</v>
      </c>
      <c r="Y31" t="str">
        <f t="shared" si="8"/>
        <v>Alto</v>
      </c>
      <c r="Z31" t="str">
        <f>IF(AND(Y31="Alto",S31="Sim"),"Negada","Aprovada")</f>
        <v>Negada</v>
      </c>
      <c r="AA31" t="str">
        <f t="shared" si="9"/>
        <v>Negada</v>
      </c>
      <c r="AB31" t="str">
        <f>IF(AND(Z31="Negada",AA31="Negada"),"Já foi negado",IF(B31="Ativo",X31*8%,"Não liberado"))</f>
        <v>Já foi negado</v>
      </c>
    </row>
    <row r="32" spans="1:28">
      <c r="A32" t="s">
        <v>88</v>
      </c>
      <c r="B32" t="str">
        <f t="shared" si="0"/>
        <v>Ativo</v>
      </c>
      <c r="C32" t="str">
        <f t="shared" si="1"/>
        <v>Rhaegar Umber</v>
      </c>
      <c r="D32" s="15" t="s">
        <v>189</v>
      </c>
      <c r="E32" s="16" t="s">
        <v>190</v>
      </c>
      <c r="F32" s="16" t="str">
        <f t="shared" si="10"/>
        <v>000.000.247-00</v>
      </c>
      <c r="G32">
        <v>19</v>
      </c>
      <c r="H32">
        <f t="shared" ca="1" si="11"/>
        <v>19</v>
      </c>
      <c r="I32" s="12">
        <v>39220</v>
      </c>
      <c r="J32" t="s">
        <v>157</v>
      </c>
      <c r="K32" t="str">
        <f t="shared" si="2"/>
        <v>Vilavelha</v>
      </c>
      <c r="L32" t="s">
        <v>158</v>
      </c>
      <c r="M32" t="str" cm="1">
        <f t="array" ref="M32">PROPER(IF(L32&lt;&gt;"",L32,_xlfn.XLOOKUP(1,($K$2:$K$398=K32)*($L$2:$L$398&lt;&gt;""),$L$2:$L$398,"")))</f>
        <v>Campina</v>
      </c>
      <c r="N32">
        <v>18000</v>
      </c>
      <c r="O32">
        <f t="shared" si="12"/>
        <v>18000</v>
      </c>
      <c r="P32">
        <v>50500</v>
      </c>
      <c r="Q32" s="17">
        <f t="shared" si="4"/>
        <v>50500</v>
      </c>
      <c r="R32" t="s">
        <v>191</v>
      </c>
      <c r="S32" t="str">
        <f t="shared" si="5"/>
        <v>Sim</v>
      </c>
      <c r="T32">
        <v>11</v>
      </c>
      <c r="U32">
        <f t="shared" si="6"/>
        <v>11</v>
      </c>
      <c r="V32" t="s">
        <v>191</v>
      </c>
      <c r="W32">
        <v>26000</v>
      </c>
      <c r="X32">
        <f t="shared" si="7"/>
        <v>26000</v>
      </c>
      <c r="Y32" t="str">
        <f t="shared" si="8"/>
        <v>Médio</v>
      </c>
      <c r="Z32" t="str">
        <f>IF(AND(Y32="Alto",S32="Sim"),"Negada","Aprovada")</f>
        <v>Aprovada</v>
      </c>
      <c r="AA32" t="str">
        <f t="shared" si="9"/>
        <v>Negada</v>
      </c>
      <c r="AB32">
        <f>IF(AND(Z32="Negada",AA32="Negada"),"Já foi negado",IF(B32="Ativo",X32*8%,"Não liberado"))</f>
        <v>2080</v>
      </c>
    </row>
    <row r="33" spans="1:28">
      <c r="A33" t="s">
        <v>88</v>
      </c>
      <c r="B33" t="str">
        <f t="shared" si="0"/>
        <v>Ativo</v>
      </c>
      <c r="C33" t="str">
        <f t="shared" si="1"/>
        <v>Roose Manderly</v>
      </c>
      <c r="D33" s="15" t="s">
        <v>192</v>
      </c>
      <c r="E33" s="16">
        <v>15400</v>
      </c>
      <c r="F33" s="16" t="str">
        <f t="shared" si="10"/>
        <v>000.000.154-00</v>
      </c>
      <c r="G33">
        <v>42</v>
      </c>
      <c r="H33">
        <f t="shared" ca="1" si="11"/>
        <v>42</v>
      </c>
      <c r="I33" s="12">
        <v>30642</v>
      </c>
      <c r="J33" t="s">
        <v>193</v>
      </c>
      <c r="K33" t="str">
        <f t="shared" si="2"/>
        <v>Dorne</v>
      </c>
      <c r="L33" t="s">
        <v>193</v>
      </c>
      <c r="M33" t="str" cm="1">
        <f t="array" ref="M33">PROPER(IF(L33&lt;&gt;"",L33,_xlfn.XLOOKUP(1,($K$2:$K$398=K33)*($L$2:$L$398&lt;&gt;""),$L$2:$L$398,"")))</f>
        <v>Dorne</v>
      </c>
      <c r="N33" t="s">
        <v>194</v>
      </c>
      <c r="O33" t="str">
        <f t="shared" si="12"/>
        <v>sem renda</v>
      </c>
      <c r="P33">
        <v>19500</v>
      </c>
      <c r="Q33" s="17">
        <f t="shared" si="4"/>
        <v>19500</v>
      </c>
      <c r="R33" t="s">
        <v>49</v>
      </c>
      <c r="S33" t="str">
        <f t="shared" si="5"/>
        <v>Não</v>
      </c>
      <c r="T33">
        <v>42</v>
      </c>
      <c r="U33">
        <f t="shared" si="6"/>
        <v>42</v>
      </c>
      <c r="V33" t="s">
        <v>49</v>
      </c>
      <c r="W33">
        <v>89500</v>
      </c>
      <c r="X33">
        <f t="shared" si="7"/>
        <v>89500</v>
      </c>
      <c r="Y33" t="str">
        <f t="shared" si="8"/>
        <v>Alto</v>
      </c>
      <c r="Z33" t="str">
        <f>IF(AND(Y33="Alto",S33="Sim"),"Negada","Aprovada")</f>
        <v>Aprovada</v>
      </c>
      <c r="AA33" t="str">
        <f t="shared" si="9"/>
        <v>Aprovada</v>
      </c>
      <c r="AB33">
        <f>IF(AND(Z33="Negada",AA33="Negada"),"Já foi negado",IF(B33="Ativo",X33*8%,"Não liberado"))</f>
        <v>7160</v>
      </c>
    </row>
    <row r="34" spans="1:28">
      <c r="A34" t="s">
        <v>88</v>
      </c>
      <c r="B34" t="str">
        <f t="shared" si="0"/>
        <v>Ativo</v>
      </c>
      <c r="C34" t="str">
        <f t="shared" si="1"/>
        <v>Jeor Florent</v>
      </c>
      <c r="D34" s="15" t="s">
        <v>195</v>
      </c>
      <c r="E34" s="16" t="s">
        <v>196</v>
      </c>
      <c r="F34" s="16" t="str">
        <f t="shared" si="10"/>
        <v>000.000.249-00</v>
      </c>
      <c r="G34">
        <v>27</v>
      </c>
      <c r="H34">
        <f t="shared" ca="1" si="11"/>
        <v>27</v>
      </c>
      <c r="I34" s="12">
        <v>36319</v>
      </c>
      <c r="J34" t="s">
        <v>95</v>
      </c>
      <c r="K34" t="str">
        <f t="shared" si="2"/>
        <v>Ponta Tempestade</v>
      </c>
      <c r="L34" t="s">
        <v>197</v>
      </c>
      <c r="M34" t="str" cm="1">
        <f t="array" ref="M34">PROPER(IF(L34&lt;&gt;"",L34,_xlfn.XLOOKUP(1,($K$2:$K$398=K34)*($L$2:$L$398&lt;&gt;""),$L$2:$L$398,"")))</f>
        <v>Terras Da Tempestade</v>
      </c>
      <c r="N34">
        <v>28800</v>
      </c>
      <c r="O34">
        <f t="shared" si="12"/>
        <v>28800</v>
      </c>
      <c r="P34" s="14">
        <v>78500</v>
      </c>
      <c r="Q34" s="17">
        <f t="shared" si="4"/>
        <v>78500</v>
      </c>
      <c r="R34" t="s">
        <v>49</v>
      </c>
      <c r="S34" t="str">
        <f t="shared" si="5"/>
        <v>Não</v>
      </c>
      <c r="T34">
        <v>2</v>
      </c>
      <c r="U34">
        <f t="shared" si="6"/>
        <v>2</v>
      </c>
      <c r="V34" t="s">
        <v>49</v>
      </c>
      <c r="W34">
        <v>53000</v>
      </c>
      <c r="X34">
        <f t="shared" si="7"/>
        <v>53000</v>
      </c>
      <c r="Y34" t="str">
        <f t="shared" si="8"/>
        <v>Baixo</v>
      </c>
      <c r="Z34" t="str">
        <f>IF(AND(Y34="Alto",S34="Sim"),"Negada","Aprovada")</f>
        <v>Aprovada</v>
      </c>
      <c r="AA34" t="str">
        <f t="shared" si="9"/>
        <v>Aprovada</v>
      </c>
      <c r="AB34">
        <f>IF(AND(Z34="Negada",AA34="Negada"),"Já foi negado",IF(B34="Ativo",X34*8%,"Não liberado"))</f>
        <v>4240</v>
      </c>
    </row>
    <row r="35" spans="1:28">
      <c r="A35" t="s">
        <v>88</v>
      </c>
      <c r="B35" t="str">
        <f t="shared" si="0"/>
        <v>Ativo</v>
      </c>
      <c r="C35" t="str">
        <f t="shared" si="1"/>
        <v>Bran Yronwood</v>
      </c>
      <c r="D35" s="15" t="s">
        <v>198</v>
      </c>
      <c r="E35" s="16" t="s">
        <v>199</v>
      </c>
      <c r="F35" s="16" t="str">
        <f t="shared" si="10"/>
        <v>000.000.057-00</v>
      </c>
      <c r="G35">
        <v>42</v>
      </c>
      <c r="H35">
        <f t="shared" ca="1" si="11"/>
        <v>42</v>
      </c>
      <c r="I35" s="12">
        <v>30878</v>
      </c>
      <c r="J35" t="s">
        <v>121</v>
      </c>
      <c r="K35" t="str">
        <f t="shared" si="2"/>
        <v>Pyke</v>
      </c>
      <c r="L35" t="s">
        <v>141</v>
      </c>
      <c r="M35" t="str" cm="1">
        <f t="array" ref="M35">PROPER(IF(L35&lt;&gt;"",L35,_xlfn.XLOOKUP(1,($K$2:$K$398=K35)*($L$2:$L$398&lt;&gt;""),$L$2:$L$398,"")))</f>
        <v>Ilhas De Ferro</v>
      </c>
      <c r="N35">
        <v>17500</v>
      </c>
      <c r="O35">
        <f t="shared" si="12"/>
        <v>17500</v>
      </c>
      <c r="P35">
        <v>3500</v>
      </c>
      <c r="Q35" s="17">
        <f t="shared" si="4"/>
        <v>3500</v>
      </c>
      <c r="R35" t="s">
        <v>200</v>
      </c>
      <c r="S35" t="str">
        <f t="shared" si="5"/>
        <v>Não</v>
      </c>
      <c r="T35">
        <v>25</v>
      </c>
      <c r="U35">
        <f t="shared" si="6"/>
        <v>25</v>
      </c>
      <c r="V35" t="s">
        <v>200</v>
      </c>
      <c r="W35">
        <v>35000</v>
      </c>
      <c r="X35">
        <f t="shared" si="7"/>
        <v>35000</v>
      </c>
      <c r="Y35" t="str">
        <f t="shared" si="8"/>
        <v>Médio</v>
      </c>
      <c r="Z35" t="str">
        <f>IF(AND(Y35="Alto",S35="Sim"),"Negada","Aprovada")</f>
        <v>Aprovada</v>
      </c>
      <c r="AA35" t="str">
        <f t="shared" si="9"/>
        <v>Aprovada</v>
      </c>
      <c r="AB35">
        <f>IF(AND(Z35="Negada",AA35="Negada"),"Já foi negado",IF(B35="Ativo",X35*8%,"Não liberado"))</f>
        <v>2800</v>
      </c>
    </row>
    <row r="36" spans="1:28">
      <c r="A36" t="s">
        <v>88</v>
      </c>
      <c r="B36" t="str">
        <f t="shared" si="0"/>
        <v>Ativo</v>
      </c>
      <c r="C36" t="str">
        <f t="shared" si="1"/>
        <v>Bronn Arryn</v>
      </c>
      <c r="D36" s="15" t="s">
        <v>201</v>
      </c>
      <c r="E36" s="16" t="s">
        <v>202</v>
      </c>
      <c r="F36" s="16" t="str">
        <f t="shared" si="10"/>
        <v>000.000.016-00</v>
      </c>
      <c r="G36">
        <v>44</v>
      </c>
      <c r="H36">
        <f t="shared" ca="1" si="11"/>
        <v>44</v>
      </c>
      <c r="I36" s="12">
        <v>29975</v>
      </c>
      <c r="J36" t="s">
        <v>113</v>
      </c>
      <c r="K36" t="str">
        <f t="shared" si="2"/>
        <v>Lannisporto</v>
      </c>
      <c r="L36" t="s">
        <v>203</v>
      </c>
      <c r="M36" t="str" cm="1">
        <f t="array" ref="M36">PROPER(IF(L36&lt;&gt;"",L36,_xlfn.XLOOKUP(1,($K$2:$K$398=K36)*($L$2:$L$398&lt;&gt;""),$L$2:$L$398,"")))</f>
        <v>Oeste</v>
      </c>
      <c r="N36">
        <v>5300</v>
      </c>
      <c r="O36">
        <f t="shared" si="12"/>
        <v>5300</v>
      </c>
      <c r="P36">
        <v>6000</v>
      </c>
      <c r="Q36" s="17">
        <f t="shared" si="4"/>
        <v>6000</v>
      </c>
      <c r="R36" t="s">
        <v>50</v>
      </c>
      <c r="S36" t="str">
        <f t="shared" si="5"/>
        <v>Sim</v>
      </c>
      <c r="T36">
        <v>1</v>
      </c>
      <c r="U36">
        <f t="shared" si="6"/>
        <v>1</v>
      </c>
      <c r="V36" t="s">
        <v>50</v>
      </c>
      <c r="W36">
        <v>4500</v>
      </c>
      <c r="X36">
        <f t="shared" si="7"/>
        <v>4500</v>
      </c>
      <c r="Y36" t="str">
        <f t="shared" si="8"/>
        <v>Baixo</v>
      </c>
      <c r="Z36" t="str">
        <f>IF(AND(Y36="Alto",S36="Sim"),"Negada","Aprovada")</f>
        <v>Aprovada</v>
      </c>
      <c r="AA36" t="str">
        <f t="shared" si="9"/>
        <v>Aprovada</v>
      </c>
      <c r="AB36">
        <f>IF(AND(Z36="Negada",AA36="Negada"),"Já foi negado",IF(B36="Ativo",X36*8%,"Não liberado"))</f>
        <v>360</v>
      </c>
    </row>
    <row r="37" spans="1:28">
      <c r="A37" t="s">
        <v>88</v>
      </c>
      <c r="B37" t="str">
        <f t="shared" si="0"/>
        <v>Ativo</v>
      </c>
      <c r="C37" t="str">
        <f t="shared" si="1"/>
        <v>Shae Clegane</v>
      </c>
      <c r="D37" s="15" t="s">
        <v>204</v>
      </c>
      <c r="E37" s="16" t="s">
        <v>205</v>
      </c>
      <c r="F37" s="16" t="str">
        <f t="shared" si="10"/>
        <v>000.000.205-00</v>
      </c>
      <c r="G37">
        <v>40</v>
      </c>
      <c r="H37">
        <f t="shared" ca="1" si="11"/>
        <v>40</v>
      </c>
      <c r="I37" s="12">
        <v>31539</v>
      </c>
      <c r="J37" t="s">
        <v>171</v>
      </c>
      <c r="K37" t="str">
        <f t="shared" si="2"/>
        <v>Fosso Cailin</v>
      </c>
      <c r="L37" t="s">
        <v>151</v>
      </c>
      <c r="M37" t="str" cm="1">
        <f t="array" ref="M37">PROPER(IF(L37&lt;&gt;"",L37,_xlfn.XLOOKUP(1,($K$2:$K$398=K37)*($L$2:$L$398&lt;&gt;""),$L$2:$L$398,"")))</f>
        <v>Norte</v>
      </c>
      <c r="N37">
        <v>9900</v>
      </c>
      <c r="O37">
        <f t="shared" si="12"/>
        <v>9900</v>
      </c>
      <c r="P37">
        <v>3500</v>
      </c>
      <c r="Q37" s="17">
        <f t="shared" si="4"/>
        <v>3500</v>
      </c>
      <c r="R37" t="s">
        <v>49</v>
      </c>
      <c r="S37" t="str">
        <f t="shared" si="5"/>
        <v>Não</v>
      </c>
      <c r="T37">
        <v>1</v>
      </c>
      <c r="U37">
        <f t="shared" si="6"/>
        <v>1</v>
      </c>
      <c r="V37" t="s">
        <v>49</v>
      </c>
      <c r="W37">
        <v>23500</v>
      </c>
      <c r="X37">
        <f t="shared" si="7"/>
        <v>23500</v>
      </c>
      <c r="Y37" t="str">
        <f t="shared" si="8"/>
        <v>Baixo</v>
      </c>
      <c r="Z37" t="str">
        <f>IF(AND(Y37="Alto",S37="Sim"),"Negada","Aprovada")</f>
        <v>Aprovada</v>
      </c>
      <c r="AA37" t="str">
        <f t="shared" si="9"/>
        <v>Aprovada</v>
      </c>
      <c r="AB37">
        <f>IF(AND(Z37="Negada",AA37="Negada"),"Já foi negado",IF(B37="Ativo",X37*8%,"Não liberado"))</f>
        <v>1880</v>
      </c>
    </row>
    <row r="38" spans="1:28">
      <c r="A38" t="s">
        <v>88</v>
      </c>
      <c r="B38" t="str">
        <f t="shared" si="0"/>
        <v>Ativo</v>
      </c>
      <c r="C38" t="str">
        <f t="shared" si="1"/>
        <v>Ramsay Hornwood</v>
      </c>
      <c r="D38" s="15" t="s">
        <v>206</v>
      </c>
      <c r="E38" s="16" t="s">
        <v>207</v>
      </c>
      <c r="F38" s="16" t="str">
        <f t="shared" si="10"/>
        <v>000.000.005-00</v>
      </c>
      <c r="G38">
        <v>65</v>
      </c>
      <c r="H38">
        <f t="shared" ca="1" si="11"/>
        <v>65</v>
      </c>
      <c r="I38" s="12">
        <v>22236</v>
      </c>
      <c r="J38" t="s">
        <v>121</v>
      </c>
      <c r="K38" t="str">
        <f t="shared" si="2"/>
        <v>Pyke</v>
      </c>
      <c r="L38" t="s">
        <v>122</v>
      </c>
      <c r="M38" t="str" cm="1">
        <f t="array" ref="M38">PROPER(IF(L38&lt;&gt;"",L38,_xlfn.XLOOKUP(1,($K$2:$K$398=K38)*($L$2:$L$398&lt;&gt;""),$L$2:$L$398,"")))</f>
        <v>Ilhas De Ferro</v>
      </c>
      <c r="N38" t="s">
        <v>208</v>
      </c>
      <c r="O38">
        <f t="shared" si="12"/>
        <v>23400</v>
      </c>
      <c r="P38">
        <v>28000</v>
      </c>
      <c r="Q38" s="17">
        <f t="shared" si="4"/>
        <v>28000</v>
      </c>
      <c r="R38" t="s">
        <v>49</v>
      </c>
      <c r="S38" t="str">
        <f t="shared" si="5"/>
        <v>Não</v>
      </c>
      <c r="T38">
        <v>34</v>
      </c>
      <c r="U38">
        <f t="shared" si="6"/>
        <v>34</v>
      </c>
      <c r="V38" t="s">
        <v>49</v>
      </c>
      <c r="W38">
        <v>74000</v>
      </c>
      <c r="X38">
        <f t="shared" si="7"/>
        <v>74000</v>
      </c>
      <c r="Y38" t="str">
        <f t="shared" si="8"/>
        <v>Alto</v>
      </c>
      <c r="Z38" t="str">
        <f>IF(AND(Y38="Alto",S38="Sim"),"Negada","Aprovada")</f>
        <v>Aprovada</v>
      </c>
      <c r="AA38" t="str">
        <f t="shared" si="9"/>
        <v>Aprovada</v>
      </c>
      <c r="AB38">
        <f>IF(AND(Z38="Negada",AA38="Negada"),"Já foi negado",IF(B38="Ativo",X38*8%,"Não liberado"))</f>
        <v>5920</v>
      </c>
    </row>
    <row r="39" spans="1:28">
      <c r="B39" t="str">
        <f t="shared" si="0"/>
        <v>Não informado</v>
      </c>
      <c r="C39" t="str">
        <f t="shared" si="1"/>
        <v>Meera Payne</v>
      </c>
      <c r="D39" s="15" t="s">
        <v>209</v>
      </c>
      <c r="E39" s="16" t="s">
        <v>210</v>
      </c>
      <c r="F39" s="16" t="str">
        <f t="shared" si="10"/>
        <v>000.000.131-00</v>
      </c>
      <c r="G39">
        <v>63</v>
      </c>
      <c r="H39">
        <f t="shared" ca="1" si="11"/>
        <v>63</v>
      </c>
      <c r="I39" s="12">
        <v>22974</v>
      </c>
      <c r="J39" t="s">
        <v>193</v>
      </c>
      <c r="K39" t="str">
        <f t="shared" si="2"/>
        <v>Dorne</v>
      </c>
      <c r="L39" t="s">
        <v>211</v>
      </c>
      <c r="M39" t="str" cm="1">
        <f t="array" ref="M39">PROPER(IF(L39&lt;&gt;"",L39,_xlfn.XLOOKUP(1,($K$2:$K$398=K39)*($L$2:$L$398&lt;&gt;""),$L$2:$L$398,"")))</f>
        <v>Dorne</v>
      </c>
      <c r="N39" s="13">
        <v>14700</v>
      </c>
      <c r="O39">
        <f t="shared" si="12"/>
        <v>14700</v>
      </c>
      <c r="P39">
        <v>0</v>
      </c>
      <c r="Q39" s="17">
        <f t="shared" si="4"/>
        <v>0</v>
      </c>
      <c r="R39" t="s">
        <v>191</v>
      </c>
      <c r="S39" t="str">
        <f t="shared" si="5"/>
        <v>Sim</v>
      </c>
      <c r="T39">
        <v>40</v>
      </c>
      <c r="U39">
        <f t="shared" si="6"/>
        <v>40</v>
      </c>
      <c r="V39" t="s">
        <v>191</v>
      </c>
      <c r="W39">
        <v>83500</v>
      </c>
      <c r="X39">
        <f t="shared" si="7"/>
        <v>83500</v>
      </c>
      <c r="Y39" t="str">
        <f t="shared" si="8"/>
        <v>Alto</v>
      </c>
      <c r="Z39" t="str">
        <f>IF(AND(Y39="Alto",S39="Sim"),"Negada","Aprovada")</f>
        <v>Negada</v>
      </c>
      <c r="AA39" t="str">
        <f t="shared" si="9"/>
        <v>Aprovada</v>
      </c>
      <c r="AB39" t="str">
        <f>IF(AND(Z39="Negada",AA39="Negada"),"Já foi negado",IF(B39="Ativo",X39*8%,"Não liberado"))</f>
        <v>Não liberado</v>
      </c>
    </row>
    <row r="40" spans="1:28">
      <c r="A40" t="s">
        <v>88</v>
      </c>
      <c r="B40" t="str">
        <f t="shared" si="0"/>
        <v>Ativo</v>
      </c>
      <c r="C40" t="str">
        <f t="shared" si="1"/>
        <v>Melisandre Baratheon</v>
      </c>
      <c r="D40" s="15" t="s">
        <v>212</v>
      </c>
      <c r="E40" s="16" t="s">
        <v>213</v>
      </c>
      <c r="F40" s="16" t="str">
        <f t="shared" si="10"/>
        <v>000.000.364-00</v>
      </c>
      <c r="G40">
        <v>22</v>
      </c>
      <c r="H40" t="str">
        <f t="shared" ca="1" si="11"/>
        <v>N/A</v>
      </c>
      <c r="J40" t="s">
        <v>130</v>
      </c>
      <c r="K40" t="str">
        <f t="shared" si="2"/>
        <v>Meereen</v>
      </c>
      <c r="L40" t="s">
        <v>131</v>
      </c>
      <c r="M40" t="str" cm="1">
        <f t="array" ref="M40">PROPER(IF(L40&lt;&gt;"",L40,_xlfn.XLOOKUP(1,($K$2:$K$398=K40)*($L$2:$L$398&lt;&gt;""),$L$2:$L$398,"")))</f>
        <v>Essos</v>
      </c>
      <c r="N40">
        <v>14400</v>
      </c>
      <c r="O40">
        <f t="shared" si="12"/>
        <v>14400</v>
      </c>
      <c r="P40">
        <v>0</v>
      </c>
      <c r="Q40" s="17">
        <f t="shared" si="4"/>
        <v>0</v>
      </c>
      <c r="R40" t="s">
        <v>49</v>
      </c>
      <c r="S40" t="str">
        <f t="shared" si="5"/>
        <v>Não</v>
      </c>
      <c r="T40" t="s">
        <v>214</v>
      </c>
      <c r="U40">
        <f t="shared" si="6"/>
        <v>27</v>
      </c>
      <c r="V40" t="s">
        <v>49</v>
      </c>
      <c r="W40">
        <v>33500</v>
      </c>
      <c r="X40">
        <f t="shared" si="7"/>
        <v>33500</v>
      </c>
      <c r="Y40" t="str">
        <f t="shared" si="8"/>
        <v>Alto</v>
      </c>
      <c r="Z40" t="str">
        <f>IF(AND(Y40="Alto",S40="Sim"),"Negada","Aprovada")</f>
        <v>Aprovada</v>
      </c>
      <c r="AA40" t="str">
        <f t="shared" si="9"/>
        <v>Aprovada</v>
      </c>
      <c r="AB40">
        <f>IF(AND(Z40="Negada",AA40="Negada"),"Já foi negado",IF(B40="Ativo",X40*8%,"Não liberado"))</f>
        <v>2680</v>
      </c>
    </row>
    <row r="41" spans="1:28">
      <c r="A41" t="s">
        <v>88</v>
      </c>
      <c r="B41" t="str">
        <f t="shared" si="0"/>
        <v>Ativo</v>
      </c>
      <c r="C41" t="str">
        <f t="shared" si="1"/>
        <v>Podrick Targaryen</v>
      </c>
      <c r="D41" s="15" t="s">
        <v>215</v>
      </c>
      <c r="E41" s="16" t="s">
        <v>216</v>
      </c>
      <c r="F41" s="16" t="str">
        <f t="shared" si="10"/>
        <v>000.000.050-00</v>
      </c>
      <c r="G41">
        <v>39</v>
      </c>
      <c r="H41">
        <f t="shared" ca="1" si="11"/>
        <v>39</v>
      </c>
      <c r="I41" s="12">
        <v>31879</v>
      </c>
      <c r="J41" t="s">
        <v>157</v>
      </c>
      <c r="K41" t="str">
        <f t="shared" si="2"/>
        <v>Vilavelha</v>
      </c>
      <c r="L41" t="s">
        <v>158</v>
      </c>
      <c r="M41" t="str" cm="1">
        <f t="array" ref="M41">PROPER(IF(L41&lt;&gt;"",L41,_xlfn.XLOOKUP(1,($K$2:$K$398=K41)*($L$2:$L$398&lt;&gt;""),$L$2:$L$398,"")))</f>
        <v>Campina</v>
      </c>
      <c r="N41" t="s">
        <v>217</v>
      </c>
      <c r="O41">
        <f t="shared" si="12"/>
        <v>29900</v>
      </c>
      <c r="P41">
        <v>0</v>
      </c>
      <c r="Q41" s="17">
        <f t="shared" si="4"/>
        <v>0</v>
      </c>
      <c r="R41" t="s">
        <v>49</v>
      </c>
      <c r="S41" t="str">
        <f t="shared" si="5"/>
        <v>Não</v>
      </c>
      <c r="T41">
        <v>39</v>
      </c>
      <c r="U41">
        <f t="shared" si="6"/>
        <v>39</v>
      </c>
      <c r="V41" t="s">
        <v>49</v>
      </c>
      <c r="W41">
        <v>75000</v>
      </c>
      <c r="X41">
        <f t="shared" si="7"/>
        <v>75000</v>
      </c>
      <c r="Y41" t="str">
        <f t="shared" si="8"/>
        <v>Alto</v>
      </c>
      <c r="Z41" t="str">
        <f>IF(AND(Y41="Alto",S41="Sim"),"Negada","Aprovada")</f>
        <v>Aprovada</v>
      </c>
      <c r="AA41" t="str">
        <f t="shared" si="9"/>
        <v>Aprovada</v>
      </c>
      <c r="AB41">
        <f>IF(AND(Z41="Negada",AA41="Negada"),"Já foi negado",IF(B41="Ativo",X41*8%,"Não liberado"))</f>
        <v>6000</v>
      </c>
    </row>
    <row r="42" spans="1:28">
      <c r="A42" t="s">
        <v>88</v>
      </c>
      <c r="B42" t="str">
        <f t="shared" si="0"/>
        <v>Ativo</v>
      </c>
      <c r="C42" t="str">
        <f t="shared" si="1"/>
        <v>Margaery Manderly</v>
      </c>
      <c r="D42" s="15" t="s">
        <v>218</v>
      </c>
      <c r="E42" s="16" t="s">
        <v>219</v>
      </c>
      <c r="F42" s="16" t="str">
        <f t="shared" si="10"/>
        <v>000.000.222-00</v>
      </c>
      <c r="G42">
        <v>63</v>
      </c>
      <c r="H42">
        <f t="shared" ca="1" si="11"/>
        <v>63</v>
      </c>
      <c r="I42" s="12">
        <v>23231</v>
      </c>
      <c r="J42" t="s">
        <v>179</v>
      </c>
      <c r="K42" t="str">
        <f t="shared" si="2"/>
        <v>Winterfell</v>
      </c>
      <c r="L42" t="s">
        <v>151</v>
      </c>
      <c r="M42" t="str" cm="1">
        <f t="array" ref="M42">PROPER(IF(L42&lt;&gt;"",L42,_xlfn.XLOOKUP(1,($K$2:$K$398=K42)*($L$2:$L$398&lt;&gt;""),$L$2:$L$398,"")))</f>
        <v>Norte</v>
      </c>
      <c r="N42">
        <v>16800</v>
      </c>
      <c r="O42">
        <f t="shared" si="12"/>
        <v>16800</v>
      </c>
      <c r="P42">
        <v>0</v>
      </c>
      <c r="Q42" s="17">
        <f t="shared" si="4"/>
        <v>0</v>
      </c>
      <c r="S42" t="str">
        <f t="shared" si="5"/>
        <v>Não</v>
      </c>
      <c r="T42">
        <v>32</v>
      </c>
      <c r="U42">
        <f t="shared" si="6"/>
        <v>32</v>
      </c>
      <c r="W42">
        <v>61500</v>
      </c>
      <c r="X42">
        <f t="shared" si="7"/>
        <v>61500</v>
      </c>
      <c r="Y42" t="str">
        <f t="shared" si="8"/>
        <v>Alto</v>
      </c>
      <c r="Z42" t="str">
        <f>IF(AND(Y42="Alto",S42="Sim"),"Negada","Aprovada")</f>
        <v>Aprovada</v>
      </c>
      <c r="AA42" t="str">
        <f t="shared" si="9"/>
        <v>Aprovada</v>
      </c>
      <c r="AB42">
        <f>IF(AND(Z42="Negada",AA42="Negada"),"Já foi negado",IF(B42="Ativo",X42*8%,"Não liberado"))</f>
        <v>4920</v>
      </c>
    </row>
    <row r="43" spans="1:28">
      <c r="A43" t="s">
        <v>88</v>
      </c>
      <c r="B43" t="str">
        <f t="shared" si="0"/>
        <v>Ativo</v>
      </c>
      <c r="C43" t="str">
        <f t="shared" si="1"/>
        <v>Daenerys Seaworth</v>
      </c>
      <c r="D43" s="15" t="s">
        <v>220</v>
      </c>
      <c r="E43" s="16" t="s">
        <v>221</v>
      </c>
      <c r="F43" s="16" t="str">
        <f t="shared" si="10"/>
        <v>000.000.341-00</v>
      </c>
      <c r="G43">
        <v>54</v>
      </c>
      <c r="H43">
        <f t="shared" ca="1" si="11"/>
        <v>54</v>
      </c>
      <c r="I43" s="12">
        <v>26213</v>
      </c>
      <c r="J43" t="s">
        <v>157</v>
      </c>
      <c r="K43" t="str">
        <f t="shared" si="2"/>
        <v>Vilavelha</v>
      </c>
      <c r="L43" t="s">
        <v>222</v>
      </c>
      <c r="M43" t="str" cm="1">
        <f t="array" ref="M43">PROPER(IF(L43&lt;&gt;"",L43,_xlfn.XLOOKUP(1,($K$2:$K$398=K43)*($L$2:$L$398&lt;&gt;""),$L$2:$L$398,"")))</f>
        <v>Campina</v>
      </c>
      <c r="N43">
        <v>29700</v>
      </c>
      <c r="O43">
        <f t="shared" si="12"/>
        <v>29700</v>
      </c>
      <c r="P43">
        <v>34000</v>
      </c>
      <c r="Q43" s="17">
        <f t="shared" si="4"/>
        <v>34000</v>
      </c>
      <c r="R43" t="s">
        <v>49</v>
      </c>
      <c r="S43" t="str">
        <f t="shared" si="5"/>
        <v>Não</v>
      </c>
      <c r="T43">
        <v>35</v>
      </c>
      <c r="U43">
        <f t="shared" si="6"/>
        <v>35</v>
      </c>
      <c r="V43" t="s">
        <v>49</v>
      </c>
      <c r="W43">
        <v>35000</v>
      </c>
      <c r="X43">
        <f t="shared" si="7"/>
        <v>35000</v>
      </c>
      <c r="Y43" t="str">
        <f t="shared" si="8"/>
        <v>Alto</v>
      </c>
      <c r="Z43" t="str">
        <f>IF(AND(Y43="Alto",S43="Sim"),"Negada","Aprovada")</f>
        <v>Aprovada</v>
      </c>
      <c r="AA43" t="str">
        <f t="shared" si="9"/>
        <v>Aprovada</v>
      </c>
      <c r="AB43">
        <f>IF(AND(Z43="Negada",AA43="Negada"),"Já foi negado",IF(B43="Ativo",X43*8%,"Não liberado"))</f>
        <v>2800</v>
      </c>
    </row>
    <row r="44" spans="1:28">
      <c r="A44" t="s">
        <v>88</v>
      </c>
      <c r="B44" t="str">
        <f t="shared" si="0"/>
        <v>Ativo</v>
      </c>
      <c r="C44" t="str">
        <f t="shared" si="1"/>
        <v>Brienne Manderly</v>
      </c>
      <c r="D44" s="15" t="s">
        <v>115</v>
      </c>
      <c r="E44" s="16" t="s">
        <v>223</v>
      </c>
      <c r="F44" s="16" t="str">
        <f t="shared" si="10"/>
        <v>000.000.140-00</v>
      </c>
      <c r="G44">
        <v>29</v>
      </c>
      <c r="H44">
        <f t="shared" ca="1" si="11"/>
        <v>29</v>
      </c>
      <c r="I44" s="12">
        <v>35472</v>
      </c>
      <c r="J44" t="s">
        <v>224</v>
      </c>
      <c r="K44" t="str">
        <f t="shared" si="2"/>
        <v>Fosso Cailin</v>
      </c>
      <c r="M44" t="str" cm="1">
        <f t="array" ref="M44">PROPER(IF(L44&lt;&gt;"",L44,_xlfn.XLOOKUP(1,($K$2:$K$398=K44)*($L$2:$L$398&lt;&gt;""),$L$2:$L$398,"")))</f>
        <v>Norte</v>
      </c>
      <c r="N44">
        <v>11900</v>
      </c>
      <c r="O44">
        <f t="shared" si="12"/>
        <v>11900</v>
      </c>
      <c r="P44">
        <v>65000</v>
      </c>
      <c r="Q44" s="17">
        <f t="shared" si="4"/>
        <v>65000</v>
      </c>
      <c r="R44" t="s">
        <v>50</v>
      </c>
      <c r="S44" t="str">
        <f t="shared" si="5"/>
        <v>Sim</v>
      </c>
      <c r="T44">
        <v>29</v>
      </c>
      <c r="U44">
        <f t="shared" si="6"/>
        <v>29</v>
      </c>
      <c r="V44" t="s">
        <v>50</v>
      </c>
      <c r="W44">
        <v>12000</v>
      </c>
      <c r="X44">
        <f t="shared" si="7"/>
        <v>12000</v>
      </c>
      <c r="Y44" t="str">
        <f t="shared" si="8"/>
        <v>Alto</v>
      </c>
      <c r="Z44" t="str">
        <f>IF(AND(Y44="Alto",S44="Sim"),"Negada","Aprovada")</f>
        <v>Negada</v>
      </c>
      <c r="AA44" t="str">
        <f t="shared" si="9"/>
        <v>Negada</v>
      </c>
      <c r="AB44" t="str">
        <f>IF(AND(Z44="Negada",AA44="Negada"),"Já foi negado",IF(B44="Ativo",X44*8%,"Não liberado"))</f>
        <v>Já foi negado</v>
      </c>
    </row>
    <row r="45" spans="1:28">
      <c r="A45" t="s">
        <v>88</v>
      </c>
      <c r="B45" t="str">
        <f t="shared" si="0"/>
        <v>Ativo</v>
      </c>
      <c r="C45" t="str">
        <f t="shared" si="1"/>
        <v>Jorah Redwyne</v>
      </c>
      <c r="D45" s="15" t="s">
        <v>225</v>
      </c>
      <c r="E45" s="16">
        <v>16500</v>
      </c>
      <c r="F45" s="16" t="str">
        <f t="shared" si="10"/>
        <v>000.000.165-00</v>
      </c>
      <c r="G45">
        <v>37</v>
      </c>
      <c r="H45">
        <f t="shared" ca="1" si="11"/>
        <v>37</v>
      </c>
      <c r="I45" s="12">
        <v>32513</v>
      </c>
      <c r="J45" t="s">
        <v>226</v>
      </c>
      <c r="K45" t="str">
        <f t="shared" si="2"/>
        <v>Monte Chifre</v>
      </c>
      <c r="L45" t="s">
        <v>227</v>
      </c>
      <c r="M45" t="str" cm="1">
        <f t="array" ref="M45">PROPER(IF(L45&lt;&gt;"",L45,_xlfn.XLOOKUP(1,($K$2:$K$398=K45)*($L$2:$L$398&lt;&gt;""),$L$2:$L$398,"")))</f>
        <v>Campina</v>
      </c>
      <c r="N45" s="13">
        <v>2600</v>
      </c>
      <c r="O45">
        <f t="shared" si="12"/>
        <v>2600</v>
      </c>
      <c r="P45" t="s">
        <v>103</v>
      </c>
      <c r="Q45" s="17" t="str">
        <f t="shared" si="4"/>
        <v>Não informado</v>
      </c>
      <c r="R45" t="s">
        <v>49</v>
      </c>
      <c r="S45" t="str">
        <f t="shared" si="5"/>
        <v>Não</v>
      </c>
      <c r="T45">
        <v>5</v>
      </c>
      <c r="U45">
        <f t="shared" si="6"/>
        <v>5</v>
      </c>
      <c r="V45" t="s">
        <v>49</v>
      </c>
      <c r="W45">
        <v>16500</v>
      </c>
      <c r="X45">
        <f t="shared" si="7"/>
        <v>16500</v>
      </c>
      <c r="Y45" t="str">
        <f t="shared" si="8"/>
        <v>Baixo</v>
      </c>
      <c r="Z45" t="str">
        <f>IF(AND(Y45="Alto",S45="Sim"),"Negada","Aprovada")</f>
        <v>Aprovada</v>
      </c>
      <c r="AA45" t="str">
        <f t="shared" si="9"/>
        <v>Aprovada</v>
      </c>
      <c r="AB45">
        <f>IF(AND(Z45="Negada",AA45="Negada"),"Já foi negado",IF(B45="Ativo",X45*8%,"Não liberado"))</f>
        <v>1320</v>
      </c>
    </row>
    <row r="46" spans="1:28">
      <c r="A46" t="s">
        <v>88</v>
      </c>
      <c r="B46" t="str">
        <f t="shared" si="0"/>
        <v>Ativo</v>
      </c>
      <c r="C46" t="str">
        <f t="shared" si="1"/>
        <v>Margaery  Hornwood</v>
      </c>
      <c r="D46" s="15" t="s">
        <v>228</v>
      </c>
      <c r="E46" s="16">
        <v>15100</v>
      </c>
      <c r="F46" s="16" t="str">
        <f t="shared" si="10"/>
        <v>000.000.151-00</v>
      </c>
      <c r="G46">
        <v>25</v>
      </c>
      <c r="H46">
        <f t="shared" ca="1" si="11"/>
        <v>25</v>
      </c>
      <c r="I46" s="12">
        <v>37125</v>
      </c>
      <c r="J46" t="s">
        <v>193</v>
      </c>
      <c r="K46" t="str">
        <f t="shared" si="2"/>
        <v>Dorne</v>
      </c>
      <c r="L46" t="s">
        <v>193</v>
      </c>
      <c r="M46" t="str" cm="1">
        <f t="array" ref="M46">PROPER(IF(L46&lt;&gt;"",L46,_xlfn.XLOOKUP(1,($K$2:$K$398=K46)*($L$2:$L$398&lt;&gt;""),$L$2:$L$398,"")))</f>
        <v>Dorne</v>
      </c>
      <c r="N46">
        <v>2500</v>
      </c>
      <c r="O46">
        <f t="shared" si="12"/>
        <v>2500</v>
      </c>
      <c r="P46">
        <v>72500</v>
      </c>
      <c r="Q46" s="17">
        <f t="shared" si="4"/>
        <v>72500</v>
      </c>
      <c r="R46" t="s">
        <v>49</v>
      </c>
      <c r="S46" t="str">
        <f t="shared" si="5"/>
        <v>Não</v>
      </c>
      <c r="T46">
        <v>32</v>
      </c>
      <c r="U46">
        <f t="shared" si="6"/>
        <v>32</v>
      </c>
      <c r="V46" t="s">
        <v>49</v>
      </c>
      <c r="W46">
        <v>97000</v>
      </c>
      <c r="X46">
        <f t="shared" si="7"/>
        <v>97000</v>
      </c>
      <c r="Y46" t="str">
        <f t="shared" si="8"/>
        <v>Alto</v>
      </c>
      <c r="Z46" t="str">
        <f>IF(AND(Y46="Alto",S46="Sim"),"Negada","Aprovada")</f>
        <v>Aprovada</v>
      </c>
      <c r="AA46" t="str">
        <f t="shared" si="9"/>
        <v>Aprovada</v>
      </c>
      <c r="AB46">
        <f>IF(AND(Z46="Negada",AA46="Negada"),"Já foi negado",IF(B46="Ativo",X46*8%,"Não liberado"))</f>
        <v>7760</v>
      </c>
    </row>
    <row r="47" spans="1:28">
      <c r="A47" t="s">
        <v>88</v>
      </c>
      <c r="B47" t="str">
        <f t="shared" si="0"/>
        <v>Ativo</v>
      </c>
      <c r="C47" t="str">
        <f t="shared" si="1"/>
        <v>Arya Redwyne</v>
      </c>
      <c r="D47" s="15" t="s">
        <v>229</v>
      </c>
      <c r="E47" s="16" t="s">
        <v>230</v>
      </c>
      <c r="F47" s="16" t="str">
        <f t="shared" si="10"/>
        <v>000.000.333-00</v>
      </c>
      <c r="G47">
        <v>21</v>
      </c>
      <c r="H47">
        <f t="shared" ca="1" si="11"/>
        <v>21</v>
      </c>
      <c r="I47" s="12">
        <v>38323</v>
      </c>
      <c r="J47" t="s">
        <v>147</v>
      </c>
      <c r="K47" t="str">
        <f t="shared" si="2"/>
        <v>Correrrio</v>
      </c>
      <c r="L47" t="s">
        <v>148</v>
      </c>
      <c r="M47" t="str" cm="1">
        <f t="array" ref="M47">PROPER(IF(L47&lt;&gt;"",L47,_xlfn.XLOOKUP(1,($K$2:$K$398=K47)*($L$2:$L$398&lt;&gt;""),$L$2:$L$398,"")))</f>
        <v>Terras Fluviais</v>
      </c>
      <c r="N47" t="s">
        <v>231</v>
      </c>
      <c r="O47">
        <f t="shared" si="12"/>
        <v>3800</v>
      </c>
      <c r="P47">
        <v>0</v>
      </c>
      <c r="Q47" s="17">
        <f t="shared" si="4"/>
        <v>0</v>
      </c>
      <c r="R47" t="s">
        <v>49</v>
      </c>
      <c r="S47" t="str">
        <f t="shared" si="5"/>
        <v>Não</v>
      </c>
      <c r="T47">
        <v>25</v>
      </c>
      <c r="U47">
        <f t="shared" si="6"/>
        <v>25</v>
      </c>
      <c r="V47" t="s">
        <v>49</v>
      </c>
      <c r="W47">
        <v>50000</v>
      </c>
      <c r="X47">
        <f t="shared" si="7"/>
        <v>50000</v>
      </c>
      <c r="Y47" t="str">
        <f t="shared" si="8"/>
        <v>Médio</v>
      </c>
      <c r="Z47" t="str">
        <f>IF(AND(Y47="Alto",S47="Sim"),"Negada","Aprovada")</f>
        <v>Aprovada</v>
      </c>
      <c r="AA47" t="str">
        <f t="shared" si="9"/>
        <v>Aprovada</v>
      </c>
      <c r="AB47">
        <f>IF(AND(Z47="Negada",AA47="Negada"),"Já foi negado",IF(B47="Ativo",X47*8%,"Não liberado"))</f>
        <v>4000</v>
      </c>
    </row>
    <row r="48" spans="1:28">
      <c r="A48" t="s">
        <v>88</v>
      </c>
      <c r="B48" t="str">
        <f t="shared" si="0"/>
        <v>Ativo</v>
      </c>
      <c r="C48" t="str">
        <f t="shared" si="1"/>
        <v>Varys Bracken</v>
      </c>
      <c r="D48" s="15" t="s">
        <v>232</v>
      </c>
      <c r="E48" s="16" t="s">
        <v>233</v>
      </c>
      <c r="F48" s="16" t="str">
        <f t="shared" si="10"/>
        <v>000.000.215-00</v>
      </c>
      <c r="G48">
        <v>28</v>
      </c>
      <c r="H48">
        <f t="shared" ca="1" si="11"/>
        <v>28</v>
      </c>
      <c r="I48" s="12">
        <v>35887</v>
      </c>
      <c r="J48" t="s">
        <v>234</v>
      </c>
      <c r="K48" t="str">
        <f t="shared" si="2"/>
        <v>Porto Real</v>
      </c>
      <c r="L48" t="s">
        <v>101</v>
      </c>
      <c r="M48" t="str" cm="1">
        <f t="array" ref="M48">PROPER(IF(L48&lt;&gt;"",L48,_xlfn.XLOOKUP(1,($K$2:$K$398=K48)*($L$2:$L$398&lt;&gt;""),$L$2:$L$398,"")))</f>
        <v>Terras Da Coroa</v>
      </c>
      <c r="N48" t="s">
        <v>235</v>
      </c>
      <c r="O48">
        <f t="shared" si="12"/>
        <v>2000</v>
      </c>
      <c r="P48">
        <v>51000</v>
      </c>
      <c r="Q48" s="17">
        <f t="shared" si="4"/>
        <v>51000</v>
      </c>
      <c r="R48" t="s">
        <v>200</v>
      </c>
      <c r="S48" t="str">
        <f t="shared" si="5"/>
        <v>Não</v>
      </c>
      <c r="T48">
        <v>12</v>
      </c>
      <c r="U48">
        <f t="shared" si="6"/>
        <v>12</v>
      </c>
      <c r="V48" t="s">
        <v>200</v>
      </c>
      <c r="W48">
        <v>72500</v>
      </c>
      <c r="X48">
        <f t="shared" si="7"/>
        <v>72500</v>
      </c>
      <c r="Y48" t="str">
        <f t="shared" si="8"/>
        <v>Médio</v>
      </c>
      <c r="Z48" t="str">
        <f>IF(AND(Y48="Alto",S48="Sim"),"Negada","Aprovada")</f>
        <v>Aprovada</v>
      </c>
      <c r="AA48" t="str">
        <f t="shared" si="9"/>
        <v>Aprovada</v>
      </c>
      <c r="AB48">
        <f>IF(AND(Z48="Negada",AA48="Negada"),"Já foi negado",IF(B48="Ativo",X48*8%,"Não liberado"))</f>
        <v>5800</v>
      </c>
    </row>
    <row r="49" spans="1:28">
      <c r="A49" t="s">
        <v>88</v>
      </c>
      <c r="B49" t="str">
        <f t="shared" si="0"/>
        <v>Ativo</v>
      </c>
      <c r="C49" t="str">
        <f t="shared" si="1"/>
        <v>Brienne Royce</v>
      </c>
      <c r="D49" s="15" t="s">
        <v>236</v>
      </c>
      <c r="E49" s="16">
        <v>10800</v>
      </c>
      <c r="F49" s="16" t="str">
        <f t="shared" si="10"/>
        <v>000.000.108-00</v>
      </c>
      <c r="G49">
        <v>39</v>
      </c>
      <c r="H49">
        <f t="shared" ca="1" si="11"/>
        <v>39</v>
      </c>
      <c r="I49" s="12">
        <v>31766</v>
      </c>
      <c r="J49" t="s">
        <v>157</v>
      </c>
      <c r="K49" t="str">
        <f t="shared" si="2"/>
        <v>Vilavelha</v>
      </c>
      <c r="L49" t="s">
        <v>227</v>
      </c>
      <c r="M49" t="str" cm="1">
        <f t="array" ref="M49">PROPER(IF(L49&lt;&gt;"",L49,_xlfn.XLOOKUP(1,($K$2:$K$398=K49)*($L$2:$L$398&lt;&gt;""),$L$2:$L$398,"")))</f>
        <v>Campina</v>
      </c>
      <c r="N49">
        <v>24700</v>
      </c>
      <c r="O49">
        <f t="shared" si="12"/>
        <v>24700</v>
      </c>
      <c r="P49" t="s">
        <v>237</v>
      </c>
      <c r="Q49" s="17">
        <f t="shared" si="4"/>
        <v>23500</v>
      </c>
      <c r="R49" t="s">
        <v>49</v>
      </c>
      <c r="S49" t="str">
        <f t="shared" si="5"/>
        <v>Não</v>
      </c>
      <c r="T49">
        <v>43</v>
      </c>
      <c r="U49">
        <f t="shared" si="6"/>
        <v>43</v>
      </c>
      <c r="V49" t="s">
        <v>49</v>
      </c>
      <c r="W49">
        <v>57000</v>
      </c>
      <c r="X49">
        <f t="shared" si="7"/>
        <v>57000</v>
      </c>
      <c r="Y49" t="str">
        <f t="shared" si="8"/>
        <v>Alto</v>
      </c>
      <c r="Z49" t="str">
        <f>IF(AND(Y49="Alto",S49="Sim"),"Negada","Aprovada")</f>
        <v>Aprovada</v>
      </c>
      <c r="AA49" t="str">
        <f t="shared" si="9"/>
        <v>Aprovada</v>
      </c>
      <c r="AB49">
        <f>IF(AND(Z49="Negada",AA49="Negada"),"Já foi negado",IF(B49="Ativo",X49*8%,"Não liberado"))</f>
        <v>4560</v>
      </c>
    </row>
    <row r="50" spans="1:28">
      <c r="A50" t="s">
        <v>88</v>
      </c>
      <c r="B50" t="str">
        <f t="shared" si="0"/>
        <v>Ativo</v>
      </c>
      <c r="C50" t="str">
        <f t="shared" si="1"/>
        <v>Rickon Redwyne</v>
      </c>
      <c r="D50" s="15" t="s">
        <v>238</v>
      </c>
      <c r="E50" s="16">
        <v>15000</v>
      </c>
      <c r="F50" s="16" t="str">
        <f t="shared" si="10"/>
        <v>000.000.150-00</v>
      </c>
      <c r="G50">
        <v>73</v>
      </c>
      <c r="H50">
        <f t="shared" ca="1" si="11"/>
        <v>73</v>
      </c>
      <c r="I50" s="12">
        <v>19588</v>
      </c>
      <c r="J50" t="s">
        <v>171</v>
      </c>
      <c r="K50" t="str">
        <f t="shared" si="2"/>
        <v>Fosso Cailin</v>
      </c>
      <c r="L50" t="s">
        <v>151</v>
      </c>
      <c r="M50" t="str" cm="1">
        <f t="array" ref="M50">PROPER(IF(L50&lt;&gt;"",L50,_xlfn.XLOOKUP(1,($K$2:$K$398=K50)*($L$2:$L$398&lt;&gt;""),$L$2:$L$398,"")))</f>
        <v>Norte</v>
      </c>
      <c r="N50" s="14">
        <v>28600</v>
      </c>
      <c r="O50">
        <f t="shared" si="12"/>
        <v>28600</v>
      </c>
      <c r="P50">
        <v>40500</v>
      </c>
      <c r="Q50" s="17">
        <f t="shared" si="4"/>
        <v>40500</v>
      </c>
      <c r="R50" t="s">
        <v>49</v>
      </c>
      <c r="S50" t="str">
        <f t="shared" si="5"/>
        <v>Não</v>
      </c>
      <c r="T50">
        <v>20</v>
      </c>
      <c r="U50">
        <f t="shared" si="6"/>
        <v>20</v>
      </c>
      <c r="V50" t="s">
        <v>49</v>
      </c>
      <c r="W50">
        <v>2500</v>
      </c>
      <c r="X50">
        <f t="shared" si="7"/>
        <v>2500</v>
      </c>
      <c r="Y50" t="str">
        <f t="shared" si="8"/>
        <v>Médio</v>
      </c>
      <c r="Z50" t="str">
        <f>IF(AND(Y50="Alto",S50="Sim"),"Negada","Aprovada")</f>
        <v>Aprovada</v>
      </c>
      <c r="AA50" t="str">
        <f t="shared" si="9"/>
        <v>Aprovada</v>
      </c>
      <c r="AB50">
        <f>IF(AND(Z50="Negada",AA50="Negada"),"Já foi negado",IF(B50="Ativo",X50*8%,"Não liberado"))</f>
        <v>200</v>
      </c>
    </row>
    <row r="51" spans="1:28">
      <c r="A51" t="s">
        <v>88</v>
      </c>
      <c r="B51" t="str">
        <f t="shared" si="0"/>
        <v>Ativo</v>
      </c>
      <c r="C51" t="str">
        <f t="shared" si="1"/>
        <v>Tormund Karstark</v>
      </c>
      <c r="D51" s="15" t="s">
        <v>239</v>
      </c>
      <c r="E51" s="16" t="s">
        <v>240</v>
      </c>
      <c r="F51" s="16" t="str">
        <f t="shared" si="10"/>
        <v>000.000.284-00</v>
      </c>
      <c r="G51">
        <v>42</v>
      </c>
      <c r="H51">
        <f t="shared" ca="1" si="11"/>
        <v>42</v>
      </c>
      <c r="I51" s="12">
        <v>30662</v>
      </c>
      <c r="J51" t="s">
        <v>150</v>
      </c>
      <c r="K51" t="str">
        <f t="shared" si="2"/>
        <v>Castelo Negro</v>
      </c>
      <c r="L51" t="s">
        <v>164</v>
      </c>
      <c r="M51" t="str" cm="1">
        <f t="array" ref="M51">PROPER(IF(L51&lt;&gt;"",L51,_xlfn.XLOOKUP(1,($K$2:$K$398=K51)*($L$2:$L$398&lt;&gt;""),$L$2:$L$398,"")))</f>
        <v>Norte</v>
      </c>
      <c r="N51">
        <v>20400</v>
      </c>
      <c r="O51">
        <f t="shared" si="12"/>
        <v>20400</v>
      </c>
      <c r="P51">
        <v>0</v>
      </c>
      <c r="Q51" s="17">
        <f t="shared" si="4"/>
        <v>0</v>
      </c>
      <c r="R51" t="s">
        <v>200</v>
      </c>
      <c r="S51" t="str">
        <f t="shared" si="5"/>
        <v>Não</v>
      </c>
      <c r="T51">
        <v>0</v>
      </c>
      <c r="U51">
        <f t="shared" si="6"/>
        <v>0</v>
      </c>
      <c r="V51" t="s">
        <v>200</v>
      </c>
      <c r="W51">
        <v>81000</v>
      </c>
      <c r="X51">
        <f t="shared" si="7"/>
        <v>81000</v>
      </c>
      <c r="Y51" t="str">
        <f t="shared" si="8"/>
        <v>Baixo</v>
      </c>
      <c r="Z51" t="str">
        <f>IF(AND(Y51="Alto",S51="Sim"),"Negada","Aprovada")</f>
        <v>Aprovada</v>
      </c>
      <c r="AA51" t="str">
        <f t="shared" si="9"/>
        <v>Aprovada</v>
      </c>
      <c r="AB51">
        <f>IF(AND(Z51="Negada",AA51="Negada"),"Já foi negado",IF(B51="Ativo",X51*8%,"Não liberado"))</f>
        <v>6480</v>
      </c>
    </row>
    <row r="52" spans="1:28">
      <c r="A52" t="s">
        <v>88</v>
      </c>
      <c r="B52" t="str">
        <f t="shared" si="0"/>
        <v>Ativo</v>
      </c>
      <c r="C52" t="str">
        <f t="shared" si="1"/>
        <v>Bran Dayne</v>
      </c>
      <c r="D52" s="15" t="s">
        <v>241</v>
      </c>
      <c r="E52" s="16" t="s">
        <v>242</v>
      </c>
      <c r="F52" s="16" t="str">
        <f t="shared" si="10"/>
        <v>000.000.288-00</v>
      </c>
      <c r="G52">
        <v>48</v>
      </c>
      <c r="H52">
        <f t="shared" ca="1" si="11"/>
        <v>48</v>
      </c>
      <c r="I52" s="12">
        <v>28430</v>
      </c>
      <c r="J52" t="s">
        <v>121</v>
      </c>
      <c r="K52" t="str">
        <f t="shared" si="2"/>
        <v>Pyke</v>
      </c>
      <c r="L52" t="s">
        <v>122</v>
      </c>
      <c r="M52" t="str" cm="1">
        <f t="array" ref="M52">PROPER(IF(L52&lt;&gt;"",L52,_xlfn.XLOOKUP(1,($K$2:$K$398=K52)*($L$2:$L$398&lt;&gt;""),$L$2:$L$398,"")))</f>
        <v>Ilhas De Ferro</v>
      </c>
      <c r="N52" t="s">
        <v>243</v>
      </c>
      <c r="O52">
        <f t="shared" si="12"/>
        <v>4500</v>
      </c>
      <c r="P52">
        <v>0</v>
      </c>
      <c r="Q52" s="17">
        <f t="shared" si="4"/>
        <v>0</v>
      </c>
      <c r="R52" t="s">
        <v>49</v>
      </c>
      <c r="S52" t="str">
        <f t="shared" si="5"/>
        <v>Não</v>
      </c>
      <c r="T52">
        <v>3</v>
      </c>
      <c r="U52">
        <f t="shared" si="6"/>
        <v>3</v>
      </c>
      <c r="V52" t="s">
        <v>49</v>
      </c>
      <c r="W52">
        <v>48500</v>
      </c>
      <c r="X52">
        <f t="shared" si="7"/>
        <v>48500</v>
      </c>
      <c r="Y52" t="str">
        <f t="shared" si="8"/>
        <v>Baixo</v>
      </c>
      <c r="Z52" t="str">
        <f>IF(AND(Y52="Alto",S52="Sim"),"Negada","Aprovada")</f>
        <v>Aprovada</v>
      </c>
      <c r="AA52" t="str">
        <f t="shared" si="9"/>
        <v>Aprovada</v>
      </c>
      <c r="AB52">
        <f>IF(AND(Z52="Negada",AA52="Negada"),"Já foi negado",IF(B52="Ativo",X52*8%,"Não liberado"))</f>
        <v>3880</v>
      </c>
    </row>
    <row r="53" spans="1:28">
      <c r="A53" t="s">
        <v>93</v>
      </c>
      <c r="B53" t="str">
        <f t="shared" si="0"/>
        <v>Inativo</v>
      </c>
      <c r="C53" t="str">
        <f t="shared" si="1"/>
        <v>Jorah Dondarrion</v>
      </c>
      <c r="D53" s="15" t="s">
        <v>104</v>
      </c>
      <c r="E53" s="16" t="s">
        <v>244</v>
      </c>
      <c r="F53" s="16" t="str">
        <f t="shared" si="10"/>
        <v>000.000.294-00</v>
      </c>
      <c r="G53">
        <v>39</v>
      </c>
      <c r="H53">
        <f t="shared" ca="1" si="11"/>
        <v>39</v>
      </c>
      <c r="I53" s="12">
        <v>31693</v>
      </c>
      <c r="J53" t="s">
        <v>113</v>
      </c>
      <c r="K53" t="str">
        <f t="shared" si="2"/>
        <v>Lannisporto</v>
      </c>
      <c r="L53" t="s">
        <v>117</v>
      </c>
      <c r="M53" t="str" cm="1">
        <f t="array" ref="M53">PROPER(IF(L53&lt;&gt;"",L53,_xlfn.XLOOKUP(1,($K$2:$K$398=K53)*($L$2:$L$398&lt;&gt;""),$L$2:$L$398,"")))</f>
        <v>Oeste</v>
      </c>
      <c r="N53">
        <v>22200</v>
      </c>
      <c r="O53">
        <f t="shared" si="12"/>
        <v>22200</v>
      </c>
      <c r="P53">
        <v>0</v>
      </c>
      <c r="Q53" s="17">
        <f t="shared" si="4"/>
        <v>0</v>
      </c>
      <c r="R53" t="s">
        <v>50</v>
      </c>
      <c r="S53" t="str">
        <f t="shared" si="5"/>
        <v>Sim</v>
      </c>
      <c r="T53">
        <v>3</v>
      </c>
      <c r="U53">
        <f t="shared" si="6"/>
        <v>3</v>
      </c>
      <c r="V53" t="s">
        <v>50</v>
      </c>
      <c r="W53">
        <v>7000</v>
      </c>
      <c r="X53">
        <f t="shared" si="7"/>
        <v>7000</v>
      </c>
      <c r="Y53" t="str">
        <f t="shared" si="8"/>
        <v>Baixo</v>
      </c>
      <c r="Z53" t="str">
        <f>IF(AND(Y53="Alto",S53="Sim"),"Negada","Aprovada")</f>
        <v>Aprovada</v>
      </c>
      <c r="AA53" t="str">
        <f t="shared" si="9"/>
        <v>Aprovada</v>
      </c>
      <c r="AB53" t="str">
        <f>IF(AND(Z53="Negada",AA53="Negada"),"Já foi negado",IF(B53="Ativo",X53*8%,"Não liberado"))</f>
        <v>Não liberado</v>
      </c>
    </row>
    <row r="54" spans="1:28">
      <c r="A54" t="s">
        <v>88</v>
      </c>
      <c r="B54" t="str">
        <f t="shared" si="0"/>
        <v>Ativo</v>
      </c>
      <c r="C54" t="str">
        <f t="shared" si="1"/>
        <v>Aegon Frey</v>
      </c>
      <c r="D54" s="15" t="s">
        <v>245</v>
      </c>
      <c r="E54" s="16" t="s">
        <v>246</v>
      </c>
      <c r="F54" s="16" t="str">
        <f t="shared" si="10"/>
        <v>000.000.338-00</v>
      </c>
      <c r="G54">
        <v>56</v>
      </c>
      <c r="H54">
        <f t="shared" ca="1" si="11"/>
        <v>56</v>
      </c>
      <c r="I54" s="12">
        <v>25525</v>
      </c>
      <c r="J54" t="s">
        <v>193</v>
      </c>
      <c r="K54" t="str">
        <f t="shared" si="2"/>
        <v>Dorne</v>
      </c>
      <c r="L54" t="s">
        <v>193</v>
      </c>
      <c r="M54" t="str" cm="1">
        <f t="array" ref="M54">PROPER(IF(L54&lt;&gt;"",L54,_xlfn.XLOOKUP(1,($K$2:$K$398=K54)*($L$2:$L$398&lt;&gt;""),$L$2:$L$398,"")))</f>
        <v>Dorne</v>
      </c>
      <c r="N54" t="s">
        <v>247</v>
      </c>
      <c r="O54">
        <f t="shared" si="12"/>
        <v>11100</v>
      </c>
      <c r="P54">
        <v>63000</v>
      </c>
      <c r="Q54" s="17">
        <f t="shared" si="4"/>
        <v>63000</v>
      </c>
      <c r="R54" t="s">
        <v>49</v>
      </c>
      <c r="S54" t="str">
        <f t="shared" si="5"/>
        <v>Não</v>
      </c>
      <c r="T54">
        <v>0</v>
      </c>
      <c r="U54">
        <f t="shared" si="6"/>
        <v>0</v>
      </c>
      <c r="V54" t="s">
        <v>49</v>
      </c>
      <c r="W54">
        <v>56000</v>
      </c>
      <c r="X54">
        <f t="shared" si="7"/>
        <v>56000</v>
      </c>
      <c r="Y54" t="str">
        <f t="shared" si="8"/>
        <v>Baixo</v>
      </c>
      <c r="Z54" t="str">
        <f>IF(AND(Y54="Alto",S54="Sim"),"Negada","Aprovada")</f>
        <v>Aprovada</v>
      </c>
      <c r="AA54" t="str">
        <f t="shared" si="9"/>
        <v>Aprovada</v>
      </c>
      <c r="AB54">
        <f>IF(AND(Z54="Negada",AA54="Negada"),"Já foi negado",IF(B54="Ativo",X54*8%,"Não liberado"))</f>
        <v>4480</v>
      </c>
    </row>
    <row r="55" spans="1:28">
      <c r="A55" t="s">
        <v>88</v>
      </c>
      <c r="B55" t="str">
        <f t="shared" si="0"/>
        <v>Ativo</v>
      </c>
      <c r="C55" t="str">
        <f t="shared" si="1"/>
        <v>Daenerys Snow</v>
      </c>
      <c r="D55" s="15" t="s">
        <v>248</v>
      </c>
      <c r="E55" s="16">
        <v>14200</v>
      </c>
      <c r="F55" s="16" t="str">
        <f t="shared" si="10"/>
        <v>000.000.142-00</v>
      </c>
      <c r="G55">
        <v>48</v>
      </c>
      <c r="H55">
        <f t="shared" ca="1" si="11"/>
        <v>48</v>
      </c>
      <c r="I55" s="12">
        <v>28681</v>
      </c>
      <c r="J55" t="s">
        <v>249</v>
      </c>
      <c r="K55" t="str">
        <f t="shared" si="2"/>
        <v>Dorne</v>
      </c>
      <c r="M55" t="str" cm="1">
        <f t="array" ref="M55">PROPER(IF(L55&lt;&gt;"",L55,_xlfn.XLOOKUP(1,($K$2:$K$398=K55)*($L$2:$L$398&lt;&gt;""),$L$2:$L$398,"")))</f>
        <v>Dorne</v>
      </c>
      <c r="N55">
        <v>15800</v>
      </c>
      <c r="O55">
        <f t="shared" si="12"/>
        <v>15800</v>
      </c>
      <c r="P55" t="s">
        <v>103</v>
      </c>
      <c r="Q55" s="17" t="str">
        <f t="shared" si="4"/>
        <v>Não informado</v>
      </c>
      <c r="R55" t="s">
        <v>49</v>
      </c>
      <c r="S55" t="str">
        <f t="shared" si="5"/>
        <v>Não</v>
      </c>
      <c r="T55">
        <v>12</v>
      </c>
      <c r="U55">
        <f t="shared" si="6"/>
        <v>12</v>
      </c>
      <c r="V55" t="s">
        <v>49</v>
      </c>
      <c r="W55">
        <v>69500</v>
      </c>
      <c r="X55">
        <f t="shared" si="7"/>
        <v>69500</v>
      </c>
      <c r="Y55" t="str">
        <f t="shared" si="8"/>
        <v>Médio</v>
      </c>
      <c r="Z55" t="str">
        <f>IF(AND(Y55="Alto",S55="Sim"),"Negada","Aprovada")</f>
        <v>Aprovada</v>
      </c>
      <c r="AA55" t="str">
        <f t="shared" si="9"/>
        <v>Aprovada</v>
      </c>
      <c r="AB55">
        <f>IF(AND(Z55="Negada",AA55="Negada"),"Já foi negado",IF(B55="Ativo",X55*8%,"Não liberado"))</f>
        <v>5560</v>
      </c>
    </row>
    <row r="56" spans="1:28">
      <c r="A56" t="s">
        <v>88</v>
      </c>
      <c r="B56" t="str">
        <f t="shared" si="0"/>
        <v>Ativo</v>
      </c>
      <c r="C56" t="str">
        <f t="shared" si="1"/>
        <v>Asha Baratheon</v>
      </c>
      <c r="D56" s="15" t="s">
        <v>250</v>
      </c>
      <c r="E56" s="16" t="s">
        <v>251</v>
      </c>
      <c r="F56" s="16" t="str">
        <f t="shared" si="10"/>
        <v>000.000.195-00</v>
      </c>
      <c r="G56">
        <v>70</v>
      </c>
      <c r="H56">
        <f t="shared" ca="1" si="11"/>
        <v>70</v>
      </c>
      <c r="I56" s="12">
        <v>20570</v>
      </c>
      <c r="J56" t="s">
        <v>136</v>
      </c>
      <c r="K56" t="str">
        <f t="shared" si="2"/>
        <v>Braavos</v>
      </c>
      <c r="L56" t="s">
        <v>131</v>
      </c>
      <c r="M56" t="str" cm="1">
        <f t="array" ref="M56">PROPER(IF(L56&lt;&gt;"",L56,_xlfn.XLOOKUP(1,($K$2:$K$398=K56)*($L$2:$L$398&lt;&gt;""),$L$2:$L$398,"")))</f>
        <v>Essos</v>
      </c>
      <c r="N56">
        <v>16300</v>
      </c>
      <c r="O56">
        <f t="shared" si="12"/>
        <v>16300</v>
      </c>
      <c r="P56">
        <v>16500</v>
      </c>
      <c r="Q56" s="17">
        <f t="shared" si="4"/>
        <v>16500</v>
      </c>
      <c r="R56" t="s">
        <v>49</v>
      </c>
      <c r="S56" t="str">
        <f t="shared" si="5"/>
        <v>Não</v>
      </c>
      <c r="T56">
        <v>25</v>
      </c>
      <c r="U56">
        <f t="shared" si="6"/>
        <v>25</v>
      </c>
      <c r="V56" t="s">
        <v>49</v>
      </c>
      <c r="W56">
        <v>65500</v>
      </c>
      <c r="X56">
        <f t="shared" si="7"/>
        <v>65500</v>
      </c>
      <c r="Y56" t="str">
        <f t="shared" si="8"/>
        <v>Médio</v>
      </c>
      <c r="Z56" t="str">
        <f>IF(AND(Y56="Alto",S56="Sim"),"Negada","Aprovada")</f>
        <v>Aprovada</v>
      </c>
      <c r="AA56" t="str">
        <f t="shared" si="9"/>
        <v>Aprovada</v>
      </c>
      <c r="AB56">
        <f>IF(AND(Z56="Negada",AA56="Negada"),"Já foi negado",IF(B56="Ativo",X56*8%,"Não liberado"))</f>
        <v>5240</v>
      </c>
    </row>
    <row r="57" spans="1:28">
      <c r="A57" t="s">
        <v>88</v>
      </c>
      <c r="B57" t="str">
        <f t="shared" si="0"/>
        <v>Ativo</v>
      </c>
      <c r="C57" t="str">
        <f t="shared" si="1"/>
        <v>Rickon Crakehall</v>
      </c>
      <c r="D57" s="15" t="s">
        <v>252</v>
      </c>
      <c r="E57" s="16" t="s">
        <v>253</v>
      </c>
      <c r="F57" s="16" t="str">
        <f t="shared" si="10"/>
        <v>000.000.066-00</v>
      </c>
      <c r="G57">
        <v>24</v>
      </c>
      <c r="H57">
        <f t="shared" ca="1" si="11"/>
        <v>24</v>
      </c>
      <c r="I57" s="12">
        <v>37435</v>
      </c>
      <c r="J57" t="s">
        <v>254</v>
      </c>
      <c r="K57" t="str">
        <f t="shared" si="2"/>
        <v>Atalaia da �gua Cinzenta</v>
      </c>
      <c r="L57" t="s">
        <v>255</v>
      </c>
      <c r="M57" t="str" cm="1">
        <f t="array" ref="M57">PROPER(IF(L57&lt;&gt;"",L57,_xlfn.XLOOKUP(1,($K$2:$K$398=K57)*($L$2:$L$398&lt;&gt;""),$L$2:$L$398,"")))</f>
        <v>Gargalo</v>
      </c>
      <c r="N57">
        <v>6100</v>
      </c>
      <c r="O57">
        <f t="shared" si="12"/>
        <v>6100</v>
      </c>
      <c r="Q57" s="17">
        <f t="shared" si="4"/>
        <v>0</v>
      </c>
      <c r="R57" t="s">
        <v>49</v>
      </c>
      <c r="S57" t="str">
        <f t="shared" si="5"/>
        <v>Não</v>
      </c>
      <c r="T57">
        <v>15</v>
      </c>
      <c r="U57">
        <f t="shared" si="6"/>
        <v>15</v>
      </c>
      <c r="V57" t="s">
        <v>49</v>
      </c>
      <c r="W57">
        <v>67000</v>
      </c>
      <c r="X57">
        <f t="shared" si="7"/>
        <v>67000</v>
      </c>
      <c r="Y57" t="str">
        <f t="shared" si="8"/>
        <v>Médio</v>
      </c>
      <c r="Z57" t="str">
        <f>IF(AND(Y57="Alto",S57="Sim"),"Negada","Aprovada")</f>
        <v>Aprovada</v>
      </c>
      <c r="AA57" t="str">
        <f t="shared" si="9"/>
        <v>Aprovada</v>
      </c>
      <c r="AB57">
        <f>IF(AND(Z57="Negada",AA57="Negada"),"Já foi negado",IF(B57="Ativo",X57*8%,"Não liberado"))</f>
        <v>5360</v>
      </c>
    </row>
    <row r="58" spans="1:28">
      <c r="A58" t="s">
        <v>88</v>
      </c>
      <c r="B58" t="str">
        <f t="shared" si="0"/>
        <v>Ativo</v>
      </c>
      <c r="C58" t="str">
        <f t="shared" si="1"/>
        <v>Eddard Mallister</v>
      </c>
      <c r="D58" s="15" t="s">
        <v>256</v>
      </c>
      <c r="E58" s="16" t="s">
        <v>257</v>
      </c>
      <c r="F58" s="16" t="str">
        <f t="shared" si="10"/>
        <v>000.000.309-00</v>
      </c>
      <c r="G58">
        <v>47</v>
      </c>
      <c r="H58">
        <f t="shared" ca="1" si="11"/>
        <v>47</v>
      </c>
      <c r="I58" s="12">
        <v>28802</v>
      </c>
      <c r="J58" t="s">
        <v>254</v>
      </c>
      <c r="K58" t="str">
        <f t="shared" si="2"/>
        <v>Atalaia da �gua Cinzenta</v>
      </c>
      <c r="L58" t="s">
        <v>258</v>
      </c>
      <c r="M58" t="str" cm="1">
        <f t="array" ref="M58">PROPER(IF(L58&lt;&gt;"",L58,_xlfn.XLOOKUP(1,($K$2:$K$398=K58)*($L$2:$L$398&lt;&gt;""),$L$2:$L$398,"")))</f>
        <v>Gargalo</v>
      </c>
      <c r="N58">
        <v>22700</v>
      </c>
      <c r="O58">
        <f t="shared" si="12"/>
        <v>22700</v>
      </c>
      <c r="P58">
        <v>8500</v>
      </c>
      <c r="Q58" s="17">
        <f t="shared" si="4"/>
        <v>8500</v>
      </c>
      <c r="S58" t="str">
        <f t="shared" si="5"/>
        <v>Não</v>
      </c>
      <c r="T58">
        <v>35</v>
      </c>
      <c r="U58">
        <f t="shared" si="6"/>
        <v>35</v>
      </c>
      <c r="W58">
        <v>23500</v>
      </c>
      <c r="X58">
        <f t="shared" si="7"/>
        <v>23500</v>
      </c>
      <c r="Y58" t="str">
        <f t="shared" si="8"/>
        <v>Alto</v>
      </c>
      <c r="Z58" t="str">
        <f>IF(AND(Y58="Alto",S58="Sim"),"Negada","Aprovada")</f>
        <v>Aprovada</v>
      </c>
      <c r="AA58" t="str">
        <f t="shared" si="9"/>
        <v>Aprovada</v>
      </c>
      <c r="AB58">
        <f>IF(AND(Z58="Negada",AA58="Negada"),"Já foi negado",IF(B58="Ativo",X58*8%,"Não liberado"))</f>
        <v>1880</v>
      </c>
    </row>
    <row r="59" spans="1:28">
      <c r="A59" t="s">
        <v>88</v>
      </c>
      <c r="B59" t="str">
        <f t="shared" si="0"/>
        <v>Ativo</v>
      </c>
      <c r="C59" t="str">
        <f t="shared" si="1"/>
        <v>Daario Clegane</v>
      </c>
      <c r="D59" s="15" t="s">
        <v>259</v>
      </c>
      <c r="E59" s="16" t="s">
        <v>260</v>
      </c>
      <c r="F59" s="16" t="str">
        <f t="shared" si="10"/>
        <v>000.000.270-00</v>
      </c>
      <c r="G59">
        <v>33</v>
      </c>
      <c r="H59">
        <f t="shared" ca="1" si="11"/>
        <v>33</v>
      </c>
      <c r="I59" s="12">
        <v>33881</v>
      </c>
      <c r="J59" t="s">
        <v>150</v>
      </c>
      <c r="K59" t="str">
        <f t="shared" si="2"/>
        <v>Castelo Negro</v>
      </c>
      <c r="L59" t="s">
        <v>164</v>
      </c>
      <c r="M59" t="str" cm="1">
        <f t="array" ref="M59">PROPER(IF(L59&lt;&gt;"",L59,_xlfn.XLOOKUP(1,($K$2:$K$398=K59)*($L$2:$L$398&lt;&gt;""),$L$2:$L$398,"")))</f>
        <v>Norte</v>
      </c>
      <c r="N59" s="14">
        <v>29700</v>
      </c>
      <c r="O59">
        <f t="shared" si="12"/>
        <v>29700</v>
      </c>
      <c r="P59">
        <v>22000</v>
      </c>
      <c r="Q59" s="17">
        <f t="shared" si="4"/>
        <v>22000</v>
      </c>
      <c r="R59" t="s">
        <v>49</v>
      </c>
      <c r="S59" t="str">
        <f t="shared" si="5"/>
        <v>Não</v>
      </c>
      <c r="T59" t="s">
        <v>261</v>
      </c>
      <c r="U59">
        <f t="shared" si="6"/>
        <v>38</v>
      </c>
      <c r="V59" t="s">
        <v>49</v>
      </c>
      <c r="W59">
        <v>81000</v>
      </c>
      <c r="X59">
        <f t="shared" si="7"/>
        <v>81000</v>
      </c>
      <c r="Y59" t="str">
        <f t="shared" si="8"/>
        <v>Alto</v>
      </c>
      <c r="Z59" t="str">
        <f>IF(AND(Y59="Alto",S59="Sim"),"Negada","Aprovada")</f>
        <v>Aprovada</v>
      </c>
      <c r="AA59" t="str">
        <f t="shared" si="9"/>
        <v>Aprovada</v>
      </c>
      <c r="AB59">
        <f>IF(AND(Z59="Negada",AA59="Negada"),"Já foi negado",IF(B59="Ativo",X59*8%,"Não liberado"))</f>
        <v>6480</v>
      </c>
    </row>
    <row r="60" spans="1:28">
      <c r="A60" t="s">
        <v>93</v>
      </c>
      <c r="B60" t="str">
        <f t="shared" si="0"/>
        <v>Inativo</v>
      </c>
      <c r="C60" t="str">
        <f t="shared" si="1"/>
        <v>Ellaria Mallister</v>
      </c>
      <c r="D60" s="15" t="s">
        <v>262</v>
      </c>
      <c r="E60" s="16" t="s">
        <v>263</v>
      </c>
      <c r="F60" s="16" t="str">
        <f t="shared" si="10"/>
        <v>000.000.194-00</v>
      </c>
      <c r="G60">
        <v>38</v>
      </c>
      <c r="H60">
        <f t="shared" ca="1" si="11"/>
        <v>38</v>
      </c>
      <c r="I60" s="12">
        <v>32102</v>
      </c>
      <c r="J60" t="s">
        <v>121</v>
      </c>
      <c r="K60" t="str">
        <f t="shared" si="2"/>
        <v>Pyke</v>
      </c>
      <c r="L60" t="s">
        <v>127</v>
      </c>
      <c r="M60" t="str" cm="1">
        <f t="array" ref="M60">PROPER(IF(L60&lt;&gt;"",L60,_xlfn.XLOOKUP(1,($K$2:$K$398=K60)*($L$2:$L$398&lt;&gt;""),$L$2:$L$398,"")))</f>
        <v>Ilhas De Ferro</v>
      </c>
      <c r="N60">
        <v>13500</v>
      </c>
      <c r="O60">
        <f t="shared" si="12"/>
        <v>13500</v>
      </c>
      <c r="P60">
        <v>24000</v>
      </c>
      <c r="Q60" s="17">
        <f t="shared" si="4"/>
        <v>24000</v>
      </c>
      <c r="R60" t="s">
        <v>49</v>
      </c>
      <c r="S60" t="str">
        <f t="shared" si="5"/>
        <v>Não</v>
      </c>
      <c r="T60">
        <v>2</v>
      </c>
      <c r="U60">
        <f t="shared" si="6"/>
        <v>2</v>
      </c>
      <c r="V60" t="s">
        <v>49</v>
      </c>
      <c r="W60">
        <v>17500</v>
      </c>
      <c r="X60">
        <f t="shared" si="7"/>
        <v>17500</v>
      </c>
      <c r="Y60" t="str">
        <f t="shared" si="8"/>
        <v>Baixo</v>
      </c>
      <c r="Z60" t="str">
        <f>IF(AND(Y60="Alto",S60="Sim"),"Negada","Aprovada")</f>
        <v>Aprovada</v>
      </c>
      <c r="AA60" t="str">
        <f t="shared" si="9"/>
        <v>Aprovada</v>
      </c>
      <c r="AB60" t="str">
        <f>IF(AND(Z60="Negada",AA60="Negada"),"Já foi negado",IF(B60="Ativo",X60*8%,"Não liberado"))</f>
        <v>Não liberado</v>
      </c>
    </row>
    <row r="61" spans="1:28">
      <c r="A61" t="s">
        <v>93</v>
      </c>
      <c r="B61" t="str">
        <f t="shared" si="0"/>
        <v>Inativo</v>
      </c>
      <c r="C61" t="str">
        <f t="shared" si="1"/>
        <v>Stannis  Cerwyn</v>
      </c>
      <c r="D61" s="15" t="s">
        <v>264</v>
      </c>
      <c r="E61" s="16">
        <v>3400</v>
      </c>
      <c r="F61" s="16" t="str">
        <f t="shared" si="10"/>
        <v>000.000.034-00</v>
      </c>
      <c r="G61">
        <v>35</v>
      </c>
      <c r="H61">
        <f t="shared" ca="1" si="11"/>
        <v>35</v>
      </c>
      <c r="I61" s="12">
        <v>33204</v>
      </c>
      <c r="J61" t="s">
        <v>179</v>
      </c>
      <c r="K61" t="str">
        <f t="shared" si="2"/>
        <v>Winterfell</v>
      </c>
      <c r="L61" t="s">
        <v>186</v>
      </c>
      <c r="M61" t="str" cm="1">
        <f t="array" ref="M61">PROPER(IF(L61&lt;&gt;"",L61,_xlfn.XLOOKUP(1,($K$2:$K$398=K61)*($L$2:$L$398&lt;&gt;""),$L$2:$L$398,"")))</f>
        <v>Norte</v>
      </c>
      <c r="N61">
        <v>17600</v>
      </c>
      <c r="O61">
        <f t="shared" si="12"/>
        <v>17600</v>
      </c>
      <c r="P61">
        <v>44000</v>
      </c>
      <c r="Q61" s="17">
        <f t="shared" si="4"/>
        <v>44000</v>
      </c>
      <c r="R61" t="s">
        <v>49</v>
      </c>
      <c r="S61" t="str">
        <f t="shared" si="5"/>
        <v>Não</v>
      </c>
      <c r="T61">
        <v>22</v>
      </c>
      <c r="U61">
        <f t="shared" si="6"/>
        <v>22</v>
      </c>
      <c r="V61" t="s">
        <v>49</v>
      </c>
      <c r="W61">
        <v>56500</v>
      </c>
      <c r="X61">
        <f t="shared" si="7"/>
        <v>56500</v>
      </c>
      <c r="Y61" t="str">
        <f t="shared" si="8"/>
        <v>Médio</v>
      </c>
      <c r="Z61" t="str">
        <f>IF(AND(Y61="Alto",S61="Sim"),"Negada","Aprovada")</f>
        <v>Aprovada</v>
      </c>
      <c r="AA61" t="str">
        <f t="shared" si="9"/>
        <v>Aprovada</v>
      </c>
      <c r="AB61" t="str">
        <f>IF(AND(Z61="Negada",AA61="Negada"),"Já foi negado",IF(B61="Ativo",X61*8%,"Não liberado"))</f>
        <v>Não liberado</v>
      </c>
    </row>
    <row r="62" spans="1:28">
      <c r="A62" t="s">
        <v>93</v>
      </c>
      <c r="B62" t="str">
        <f t="shared" si="0"/>
        <v>Inativo</v>
      </c>
      <c r="C62" t="str">
        <f t="shared" si="1"/>
        <v>Ellaria Tarly</v>
      </c>
      <c r="D62" s="15" t="s">
        <v>265</v>
      </c>
      <c r="E62" s="16" t="s">
        <v>266</v>
      </c>
      <c r="F62" s="16" t="str">
        <f t="shared" si="10"/>
        <v>000.000.026-00</v>
      </c>
      <c r="G62">
        <v>67</v>
      </c>
      <c r="H62">
        <f t="shared" ca="1" si="11"/>
        <v>67</v>
      </c>
      <c r="I62" s="12">
        <v>21512</v>
      </c>
      <c r="J62" t="s">
        <v>136</v>
      </c>
      <c r="K62" t="str">
        <f t="shared" si="2"/>
        <v>Braavos</v>
      </c>
      <c r="L62" t="s">
        <v>267</v>
      </c>
      <c r="M62" t="str" cm="1">
        <f t="array" ref="M62">PROPER(IF(L62&lt;&gt;"",L62,_xlfn.XLOOKUP(1,($K$2:$K$398=K62)*($L$2:$L$398&lt;&gt;""),$L$2:$L$398,"")))</f>
        <v>Essos</v>
      </c>
      <c r="N62" s="13">
        <v>3200</v>
      </c>
      <c r="O62">
        <f t="shared" si="12"/>
        <v>3200</v>
      </c>
      <c r="P62">
        <v>6500</v>
      </c>
      <c r="Q62" s="17">
        <f t="shared" si="4"/>
        <v>6500</v>
      </c>
      <c r="R62" t="s">
        <v>49</v>
      </c>
      <c r="S62" t="str">
        <f t="shared" si="5"/>
        <v>Não</v>
      </c>
      <c r="T62">
        <v>20</v>
      </c>
      <c r="U62">
        <f t="shared" si="6"/>
        <v>20</v>
      </c>
      <c r="V62" t="s">
        <v>49</v>
      </c>
      <c r="W62">
        <v>52500</v>
      </c>
      <c r="X62">
        <f t="shared" si="7"/>
        <v>52500</v>
      </c>
      <c r="Y62" t="str">
        <f t="shared" si="8"/>
        <v>Médio</v>
      </c>
      <c r="Z62" t="str">
        <f>IF(AND(Y62="Alto",S62="Sim"),"Negada","Aprovada")</f>
        <v>Aprovada</v>
      </c>
      <c r="AA62" t="str">
        <f t="shared" si="9"/>
        <v>Aprovada</v>
      </c>
      <c r="AB62" t="str">
        <f>IF(AND(Z62="Negada",AA62="Negada"),"Já foi negado",IF(B62="Ativo",X62*8%,"Não liberado"))</f>
        <v>Não liberado</v>
      </c>
    </row>
    <row r="63" spans="1:28">
      <c r="A63" t="s">
        <v>88</v>
      </c>
      <c r="B63" t="str">
        <f t="shared" si="0"/>
        <v>Ativo</v>
      </c>
      <c r="C63" t="str">
        <f t="shared" si="1"/>
        <v>Daario Tyrell</v>
      </c>
      <c r="D63" s="15" t="s">
        <v>268</v>
      </c>
      <c r="E63" s="16" t="s">
        <v>269</v>
      </c>
      <c r="F63" s="16" t="str">
        <f t="shared" si="10"/>
        <v>000.000.251-00</v>
      </c>
      <c r="G63">
        <v>51</v>
      </c>
      <c r="H63">
        <f t="shared" ca="1" si="11"/>
        <v>51</v>
      </c>
      <c r="I63" s="12">
        <v>27377</v>
      </c>
      <c r="J63" t="s">
        <v>121</v>
      </c>
      <c r="K63" t="str">
        <f t="shared" si="2"/>
        <v>Pyke</v>
      </c>
      <c r="L63" t="s">
        <v>122</v>
      </c>
      <c r="M63" t="str" cm="1">
        <f t="array" ref="M63">PROPER(IF(L63&lt;&gt;"",L63,_xlfn.XLOOKUP(1,($K$2:$K$398=K63)*($L$2:$L$398&lt;&gt;""),$L$2:$L$398,"")))</f>
        <v>Ilhas De Ferro</v>
      </c>
      <c r="N63">
        <v>16300</v>
      </c>
      <c r="O63">
        <f t="shared" si="12"/>
        <v>16300</v>
      </c>
      <c r="Q63" s="17">
        <f t="shared" si="4"/>
        <v>0</v>
      </c>
      <c r="R63" t="s">
        <v>200</v>
      </c>
      <c r="S63" t="str">
        <f t="shared" si="5"/>
        <v>Não</v>
      </c>
      <c r="T63">
        <v>8</v>
      </c>
      <c r="U63">
        <f t="shared" si="6"/>
        <v>8</v>
      </c>
      <c r="V63" t="s">
        <v>200</v>
      </c>
      <c r="W63">
        <v>33000</v>
      </c>
      <c r="X63">
        <f t="shared" si="7"/>
        <v>33000</v>
      </c>
      <c r="Y63" t="str">
        <f t="shared" si="8"/>
        <v>Baixo</v>
      </c>
      <c r="Z63" t="str">
        <f>IF(AND(Y63="Alto",S63="Sim"),"Negada","Aprovada")</f>
        <v>Aprovada</v>
      </c>
      <c r="AA63" t="str">
        <f t="shared" si="9"/>
        <v>Aprovada</v>
      </c>
      <c r="AB63">
        <f>IF(AND(Z63="Negada",AA63="Negada"),"Já foi negado",IF(B63="Ativo",X63*8%,"Não liberado"))</f>
        <v>2640</v>
      </c>
    </row>
    <row r="64" spans="1:28">
      <c r="A64" t="s">
        <v>93</v>
      </c>
      <c r="B64" t="str">
        <f t="shared" si="0"/>
        <v>Inativo</v>
      </c>
      <c r="C64" t="str">
        <f t="shared" si="1"/>
        <v>Daario Marbrand</v>
      </c>
      <c r="D64" s="15" t="s">
        <v>270</v>
      </c>
      <c r="E64" s="16" t="s">
        <v>271</v>
      </c>
      <c r="F64" s="16" t="str">
        <f t="shared" si="10"/>
        <v>000.000.014-00</v>
      </c>
      <c r="G64" t="s">
        <v>272</v>
      </c>
      <c r="H64">
        <f t="shared" ca="1" si="11"/>
        <v>46</v>
      </c>
      <c r="I64" s="12">
        <v>29113</v>
      </c>
      <c r="J64" t="s">
        <v>171</v>
      </c>
      <c r="K64" t="str">
        <f t="shared" si="2"/>
        <v>Fosso Cailin</v>
      </c>
      <c r="L64" t="s">
        <v>151</v>
      </c>
      <c r="M64" t="str" cm="1">
        <f t="array" ref="M64">PROPER(IF(L64&lt;&gt;"",L64,_xlfn.XLOOKUP(1,($K$2:$K$398=K64)*($L$2:$L$398&lt;&gt;""),$L$2:$L$398,"")))</f>
        <v>Norte</v>
      </c>
      <c r="N64">
        <v>15000</v>
      </c>
      <c r="O64">
        <f t="shared" si="12"/>
        <v>15000</v>
      </c>
      <c r="P64">
        <v>32500</v>
      </c>
      <c r="Q64" s="17">
        <f t="shared" si="4"/>
        <v>32500</v>
      </c>
      <c r="R64" t="s">
        <v>49</v>
      </c>
      <c r="S64" t="str">
        <f t="shared" si="5"/>
        <v>Não</v>
      </c>
      <c r="T64">
        <v>40</v>
      </c>
      <c r="U64">
        <f t="shared" si="6"/>
        <v>40</v>
      </c>
      <c r="V64" t="s">
        <v>49</v>
      </c>
      <c r="W64">
        <v>4500</v>
      </c>
      <c r="X64">
        <f t="shared" si="7"/>
        <v>4500</v>
      </c>
      <c r="Y64" t="str">
        <f t="shared" si="8"/>
        <v>Alto</v>
      </c>
      <c r="Z64" t="str">
        <f>IF(AND(Y64="Alto",S64="Sim"),"Negada","Aprovada")</f>
        <v>Aprovada</v>
      </c>
      <c r="AA64" t="str">
        <f t="shared" si="9"/>
        <v>Aprovada</v>
      </c>
      <c r="AB64" t="str">
        <f>IF(AND(Z64="Negada",AA64="Negada"),"Já foi negado",IF(B64="Ativo",X64*8%,"Não liberado"))</f>
        <v>Não liberado</v>
      </c>
    </row>
    <row r="65" spans="1:28">
      <c r="A65" t="s">
        <v>88</v>
      </c>
      <c r="B65" t="str">
        <f t="shared" si="0"/>
        <v>Ativo</v>
      </c>
      <c r="C65" t="str">
        <f t="shared" si="1"/>
        <v>Thoros Tarth</v>
      </c>
      <c r="D65" s="15" t="s">
        <v>273</v>
      </c>
      <c r="E65" s="16">
        <v>23900</v>
      </c>
      <c r="F65" s="16" t="str">
        <f t="shared" si="10"/>
        <v>000.000.239-00</v>
      </c>
      <c r="G65">
        <v>39</v>
      </c>
      <c r="H65">
        <f t="shared" ca="1" si="11"/>
        <v>39</v>
      </c>
      <c r="I65" s="12">
        <v>31740</v>
      </c>
      <c r="J65" t="s">
        <v>121</v>
      </c>
      <c r="K65" t="str">
        <f t="shared" si="2"/>
        <v>Pyke</v>
      </c>
      <c r="L65" t="s">
        <v>274</v>
      </c>
      <c r="M65" t="str" cm="1">
        <f t="array" ref="M65">PROPER(IF(L65&lt;&gt;"",L65,_xlfn.XLOOKUP(1,($K$2:$K$398=K65)*($L$2:$L$398&lt;&gt;""),$L$2:$L$398,"")))</f>
        <v>Ilhas De Ferro</v>
      </c>
      <c r="N65" s="13">
        <v>13200</v>
      </c>
      <c r="O65">
        <f t="shared" si="12"/>
        <v>13200</v>
      </c>
      <c r="P65" t="s">
        <v>103</v>
      </c>
      <c r="Q65" s="17" t="str">
        <f t="shared" si="4"/>
        <v>Não informado</v>
      </c>
      <c r="R65" t="s">
        <v>49</v>
      </c>
      <c r="S65" t="str">
        <f t="shared" si="5"/>
        <v>Não</v>
      </c>
      <c r="T65" t="s">
        <v>261</v>
      </c>
      <c r="U65">
        <f t="shared" si="6"/>
        <v>38</v>
      </c>
      <c r="V65" t="s">
        <v>49</v>
      </c>
      <c r="W65">
        <v>36000</v>
      </c>
      <c r="X65">
        <f t="shared" si="7"/>
        <v>36000</v>
      </c>
      <c r="Y65" t="str">
        <f t="shared" si="8"/>
        <v>Alto</v>
      </c>
      <c r="Z65" t="str">
        <f>IF(AND(Y65="Alto",S65="Sim"),"Negada","Aprovada")</f>
        <v>Aprovada</v>
      </c>
      <c r="AA65" t="str">
        <f t="shared" si="9"/>
        <v>Aprovada</v>
      </c>
      <c r="AB65">
        <f>IF(AND(Z65="Negada",AA65="Negada"),"Já foi negado",IF(B65="Ativo",X65*8%,"Não liberado"))</f>
        <v>2880</v>
      </c>
    </row>
    <row r="66" spans="1:28">
      <c r="A66" t="s">
        <v>88</v>
      </c>
      <c r="B66" t="str">
        <f t="shared" si="0"/>
        <v>Ativo</v>
      </c>
      <c r="C66" t="str">
        <f t="shared" si="1"/>
        <v>Arya Marbrand</v>
      </c>
      <c r="D66" s="15" t="s">
        <v>275</v>
      </c>
      <c r="E66" s="16" t="s">
        <v>276</v>
      </c>
      <c r="F66" s="16" t="str">
        <f t="shared" si="10"/>
        <v>000.000.133-00</v>
      </c>
      <c r="G66">
        <v>24</v>
      </c>
      <c r="H66">
        <f t="shared" ca="1" si="11"/>
        <v>24</v>
      </c>
      <c r="I66" s="12">
        <v>37172</v>
      </c>
      <c r="J66" t="s">
        <v>91</v>
      </c>
      <c r="K66" t="str">
        <f t="shared" si="2"/>
        <v>Ninho da Águia</v>
      </c>
      <c r="L66" t="s">
        <v>92</v>
      </c>
      <c r="M66" t="str" cm="1">
        <f t="array" ref="M66">PROPER(IF(L66&lt;&gt;"",L66,_xlfn.XLOOKUP(1,($K$2:$K$398=K66)*($L$2:$L$398&lt;&gt;""),$L$2:$L$398,"")))</f>
        <v>Vale</v>
      </c>
      <c r="N66">
        <v>21600</v>
      </c>
      <c r="O66">
        <f t="shared" si="12"/>
        <v>21600</v>
      </c>
      <c r="P66" s="13">
        <v>25000</v>
      </c>
      <c r="Q66" s="17">
        <f t="shared" si="4"/>
        <v>25000</v>
      </c>
      <c r="R66" t="s">
        <v>49</v>
      </c>
      <c r="S66" t="str">
        <f t="shared" si="5"/>
        <v>Não</v>
      </c>
      <c r="T66">
        <v>33</v>
      </c>
      <c r="U66">
        <f t="shared" si="6"/>
        <v>33</v>
      </c>
      <c r="V66" t="s">
        <v>49</v>
      </c>
      <c r="W66">
        <v>17500</v>
      </c>
      <c r="X66">
        <f t="shared" si="7"/>
        <v>17500</v>
      </c>
      <c r="Y66" t="str">
        <f t="shared" si="8"/>
        <v>Alto</v>
      </c>
      <c r="Z66" t="str">
        <f>IF(AND(Y66="Alto",S66="Sim"),"Negada","Aprovada")</f>
        <v>Aprovada</v>
      </c>
      <c r="AA66" t="str">
        <f t="shared" si="9"/>
        <v>Aprovada</v>
      </c>
      <c r="AB66">
        <f>IF(AND(Z66="Negada",AA66="Negada"),"Já foi negado",IF(B66="Ativo",X66*8%,"Não liberado"))</f>
        <v>1400</v>
      </c>
    </row>
    <row r="67" spans="1:28">
      <c r="A67" t="s">
        <v>88</v>
      </c>
      <c r="B67" t="str">
        <f t="shared" ref="B67:B130" si="13">IF(A67="","Não informado",IF(OR(A67="Ativoo",A67="ATIVO",A67="ativo"),"Ativo",IF(OR(A67="Loqueado",A67="Bloqueado"),"Bloqueado",PROPER(A67))))</f>
        <v>Ativo</v>
      </c>
      <c r="C67" t="str">
        <f t="shared" ref="C67:C130" si="14">PROPER(D67)</f>
        <v>Davos Tyrell</v>
      </c>
      <c r="D67" s="15" t="s">
        <v>277</v>
      </c>
      <c r="E67" s="16">
        <v>16100</v>
      </c>
      <c r="F67" s="16" t="str">
        <f t="shared" si="10"/>
        <v>000.000.161-00</v>
      </c>
      <c r="G67">
        <v>57</v>
      </c>
      <c r="H67" t="str">
        <f t="shared" ca="1" si="11"/>
        <v>N/A</v>
      </c>
      <c r="J67" t="s">
        <v>113</v>
      </c>
      <c r="K67" t="str">
        <f t="shared" ref="K67:K130" si="15">IFERROR(TRIM(_xlfn.TEXTBEFORE(J67,"|")),J67)</f>
        <v>Lannisporto</v>
      </c>
      <c r="L67" t="s">
        <v>203</v>
      </c>
      <c r="M67" t="str" cm="1">
        <f t="array" ref="M67">PROPER(IF(L67&lt;&gt;"",L67,_xlfn.XLOOKUP(1,($K$2:$K$398=K67)*($L$2:$L$398&lt;&gt;""),$L$2:$L$398,"")))</f>
        <v>Oeste</v>
      </c>
      <c r="N67" t="s">
        <v>194</v>
      </c>
      <c r="O67" t="str">
        <f t="shared" si="12"/>
        <v>sem renda</v>
      </c>
      <c r="Q67" s="17">
        <f t="shared" ref="Q67:Q130" si="16">IF(P67="N/A","Não informado",IFERROR(VALUE(SUBSTITUTE(SUBSTITUTE(P67,"R$ ","")," moedas","")),P67))</f>
        <v>0</v>
      </c>
      <c r="R67" t="s">
        <v>50</v>
      </c>
      <c r="S67" t="str">
        <f t="shared" ref="S67:S130" si="17">IF(OR(R67="Sim",R67="SIM",R67="sim",R67=1,R67="1"),"Sim",IF(OR(R67="Não",R67="Nao",R67="NÃO",R67="nao",R67=0,R67="0"),"Não","Não informado"))</f>
        <v>Sim</v>
      </c>
      <c r="T67" t="s">
        <v>278</v>
      </c>
      <c r="U67">
        <f t="shared" ref="U67:U130" si="18">IFERROR(VALUE(SUBSTITUTE(T67," batalhas","")),T67)</f>
        <v>28</v>
      </c>
      <c r="V67" t="s">
        <v>50</v>
      </c>
      <c r="W67">
        <v>13000</v>
      </c>
      <c r="X67">
        <f t="shared" ref="X67:X130" si="19">IFERROR(VALUE(SUBSTITUTE(SUBSTITUTE(W67,"R$ ","")," moedas","")),W67)</f>
        <v>13000</v>
      </c>
      <c r="Y67" t="str">
        <f t="shared" ref="Y67:Y130" si="20">IF(U67&lt;=10,"Baixo",IF(U67&lt;=25,"Médio","Alto"))</f>
        <v>Alto</v>
      </c>
      <c r="Z67" t="str">
        <f>IF(AND(Y67="Alto",S67="Sim"),"Negada","Aprovada")</f>
        <v>Negada</v>
      </c>
      <c r="AA67" t="str">
        <f t="shared" ref="AA67:AA130" si="21">IF(AND(Q67&gt;50000,S67="Sim"),"Negada","Aprovada")</f>
        <v>Aprovada</v>
      </c>
      <c r="AB67">
        <f>IF(AND(Z67="Negada",AA67="Negada"),"Já foi negado",IF(B67="Ativo",X67*8%,"Não liberado"))</f>
        <v>1040</v>
      </c>
    </row>
    <row r="68" spans="1:28">
      <c r="A68" t="s">
        <v>88</v>
      </c>
      <c r="B68" t="str">
        <f t="shared" si="13"/>
        <v>Ativo</v>
      </c>
      <c r="C68" t="str">
        <f t="shared" si="14"/>
        <v>Lyanna Florent</v>
      </c>
      <c r="D68" s="15" t="s">
        <v>279</v>
      </c>
      <c r="E68" s="16">
        <v>6300</v>
      </c>
      <c r="F68" s="16" t="str">
        <f t="shared" ref="F68:F131" si="22">TEXT(E68,"000\.000\.000\-00")</f>
        <v>000.000.063-00</v>
      </c>
      <c r="G68">
        <v>68</v>
      </c>
      <c r="H68" t="str">
        <f t="shared" ca="1" si="11"/>
        <v>N/A</v>
      </c>
      <c r="J68" t="s">
        <v>100</v>
      </c>
      <c r="K68" t="str">
        <f t="shared" si="15"/>
        <v>Pedra do Dragão</v>
      </c>
      <c r="L68" t="s">
        <v>101</v>
      </c>
      <c r="M68" t="str" cm="1">
        <f t="array" ref="M68">PROPER(IF(L68&lt;&gt;"",L68,_xlfn.XLOOKUP(1,($K$2:$K$398=K68)*($L$2:$L$398&lt;&gt;""),$L$2:$L$398,"")))</f>
        <v>Terras Da Coroa</v>
      </c>
      <c r="N68" s="14">
        <v>19900</v>
      </c>
      <c r="O68">
        <f t="shared" si="12"/>
        <v>19900</v>
      </c>
      <c r="P68">
        <v>35000</v>
      </c>
      <c r="Q68" s="17">
        <f t="shared" si="16"/>
        <v>35000</v>
      </c>
      <c r="R68" t="s">
        <v>200</v>
      </c>
      <c r="S68" t="str">
        <f t="shared" si="17"/>
        <v>Não</v>
      </c>
      <c r="T68">
        <v>25</v>
      </c>
      <c r="U68">
        <f t="shared" si="18"/>
        <v>25</v>
      </c>
      <c r="V68" t="s">
        <v>200</v>
      </c>
      <c r="W68">
        <v>59500</v>
      </c>
      <c r="X68">
        <f t="shared" si="19"/>
        <v>59500</v>
      </c>
      <c r="Y68" t="str">
        <f t="shared" si="20"/>
        <v>Médio</v>
      </c>
      <c r="Z68" t="str">
        <f>IF(AND(Y68="Alto",S68="Sim"),"Negada","Aprovada")</f>
        <v>Aprovada</v>
      </c>
      <c r="AA68" t="str">
        <f t="shared" si="21"/>
        <v>Aprovada</v>
      </c>
      <c r="AB68">
        <f>IF(AND(Z68="Negada",AA68="Negada"),"Já foi negado",IF(B68="Ativo",X68*8%,"Não liberado"))</f>
        <v>4760</v>
      </c>
    </row>
    <row r="69" spans="1:28">
      <c r="A69" t="s">
        <v>88</v>
      </c>
      <c r="B69" t="str">
        <f t="shared" si="13"/>
        <v>Ativo</v>
      </c>
      <c r="C69" t="str">
        <f t="shared" si="14"/>
        <v>Varys Bolton</v>
      </c>
      <c r="D69" s="15" t="s">
        <v>280</v>
      </c>
      <c r="E69" s="16">
        <v>27200</v>
      </c>
      <c r="F69" s="16" t="str">
        <f t="shared" si="22"/>
        <v>000.000.272-00</v>
      </c>
      <c r="G69">
        <v>56</v>
      </c>
      <c r="H69">
        <f t="shared" ref="H69:H132" ca="1" si="23">IF(OR(I69="",I69="N/A"),"N/A",DATEDIF(I69,TODAY(),"Y"))</f>
        <v>56</v>
      </c>
      <c r="I69" s="12">
        <v>25710</v>
      </c>
      <c r="J69" t="s">
        <v>171</v>
      </c>
      <c r="K69" t="str">
        <f t="shared" si="15"/>
        <v>Fosso Cailin</v>
      </c>
      <c r="L69" t="s">
        <v>151</v>
      </c>
      <c r="M69" t="str" cm="1">
        <f t="array" ref="M69">PROPER(IF(L69&lt;&gt;"",L69,_xlfn.XLOOKUP(1,($K$2:$K$398=K69)*($L$2:$L$398&lt;&gt;""),$L$2:$L$398,"")))</f>
        <v>Norte</v>
      </c>
      <c r="N69">
        <v>14100</v>
      </c>
      <c r="O69">
        <f t="shared" si="12"/>
        <v>14100</v>
      </c>
      <c r="P69">
        <v>1500</v>
      </c>
      <c r="Q69" s="17">
        <f t="shared" si="16"/>
        <v>1500</v>
      </c>
      <c r="R69" t="s">
        <v>49</v>
      </c>
      <c r="S69" t="str">
        <f t="shared" si="17"/>
        <v>Não</v>
      </c>
      <c r="T69">
        <v>26</v>
      </c>
      <c r="U69">
        <f t="shared" si="18"/>
        <v>26</v>
      </c>
      <c r="V69" t="s">
        <v>49</v>
      </c>
      <c r="W69">
        <v>36000</v>
      </c>
      <c r="X69">
        <f t="shared" si="19"/>
        <v>36000</v>
      </c>
      <c r="Y69" t="str">
        <f t="shared" si="20"/>
        <v>Alto</v>
      </c>
      <c r="Z69" t="str">
        <f>IF(AND(Y69="Alto",S69="Sim"),"Negada","Aprovada")</f>
        <v>Aprovada</v>
      </c>
      <c r="AA69" t="str">
        <f t="shared" si="21"/>
        <v>Aprovada</v>
      </c>
      <c r="AB69">
        <f>IF(AND(Z69="Negada",AA69="Negada"),"Já foi negado",IF(B69="Ativo",X69*8%,"Não liberado"))</f>
        <v>2880</v>
      </c>
    </row>
    <row r="70" spans="1:28">
      <c r="A70" t="s">
        <v>88</v>
      </c>
      <c r="B70" t="str">
        <f t="shared" si="13"/>
        <v>Ativo</v>
      </c>
      <c r="C70" t="str">
        <f t="shared" si="14"/>
        <v>Shae Seaworth</v>
      </c>
      <c r="D70" s="15" t="s">
        <v>281</v>
      </c>
      <c r="E70" s="16" t="s">
        <v>282</v>
      </c>
      <c r="F70" s="16" t="str">
        <f t="shared" si="22"/>
        <v>000.000.030-00</v>
      </c>
      <c r="G70">
        <v>33</v>
      </c>
      <c r="H70">
        <f t="shared" ca="1" si="23"/>
        <v>33</v>
      </c>
      <c r="I70" s="12">
        <v>34027</v>
      </c>
      <c r="J70" t="s">
        <v>136</v>
      </c>
      <c r="K70" t="str">
        <f t="shared" si="15"/>
        <v>Braavos</v>
      </c>
      <c r="L70" t="s">
        <v>283</v>
      </c>
      <c r="M70" t="str" cm="1">
        <f t="array" ref="M70">PROPER(IF(L70&lt;&gt;"",L70,_xlfn.XLOOKUP(1,($K$2:$K$398=K70)*($L$2:$L$398&lt;&gt;""),$L$2:$L$398,"")))</f>
        <v>Essos</v>
      </c>
      <c r="N70">
        <v>3400</v>
      </c>
      <c r="O70">
        <f t="shared" si="12"/>
        <v>3400</v>
      </c>
      <c r="P70">
        <v>0</v>
      </c>
      <c r="Q70" s="17">
        <f t="shared" si="16"/>
        <v>0</v>
      </c>
      <c r="R70" t="s">
        <v>49</v>
      </c>
      <c r="S70" t="str">
        <f t="shared" si="17"/>
        <v>Não</v>
      </c>
      <c r="T70">
        <v>13</v>
      </c>
      <c r="U70">
        <f t="shared" si="18"/>
        <v>13</v>
      </c>
      <c r="V70" t="s">
        <v>49</v>
      </c>
      <c r="W70">
        <v>70000</v>
      </c>
      <c r="X70">
        <f t="shared" si="19"/>
        <v>70000</v>
      </c>
      <c r="Y70" t="str">
        <f t="shared" si="20"/>
        <v>Médio</v>
      </c>
      <c r="Z70" t="str">
        <f>IF(AND(Y70="Alto",S70="Sim"),"Negada","Aprovada")</f>
        <v>Aprovada</v>
      </c>
      <c r="AA70" t="str">
        <f t="shared" si="21"/>
        <v>Aprovada</v>
      </c>
      <c r="AB70">
        <f>IF(AND(Z70="Negada",AA70="Negada"),"Já foi negado",IF(B70="Ativo",X70*8%,"Não liberado"))</f>
        <v>5600</v>
      </c>
    </row>
    <row r="71" spans="1:28">
      <c r="A71" t="s">
        <v>88</v>
      </c>
      <c r="B71" t="str">
        <f t="shared" si="13"/>
        <v>Ativo</v>
      </c>
      <c r="C71" t="str">
        <f t="shared" si="14"/>
        <v>Jojen Reed</v>
      </c>
      <c r="D71" s="15" t="s">
        <v>284</v>
      </c>
      <c r="E71" s="16" t="s">
        <v>285</v>
      </c>
      <c r="F71" s="16" t="str">
        <f t="shared" si="22"/>
        <v>000.000.136-00</v>
      </c>
      <c r="G71">
        <v>41</v>
      </c>
      <c r="H71">
        <f t="shared" ca="1" si="23"/>
        <v>41</v>
      </c>
      <c r="I71" s="12">
        <v>30944</v>
      </c>
      <c r="J71" t="s">
        <v>95</v>
      </c>
      <c r="K71" t="str">
        <f t="shared" si="15"/>
        <v>Ponta Tempestade</v>
      </c>
      <c r="L71" t="s">
        <v>96</v>
      </c>
      <c r="M71" t="str" cm="1">
        <f t="array" ref="M71">PROPER(IF(L71&lt;&gt;"",L71,_xlfn.XLOOKUP(1,($K$2:$K$398=K71)*($L$2:$L$398&lt;&gt;""),$L$2:$L$398,"")))</f>
        <v>Terras Da Tempestade</v>
      </c>
      <c r="N71" t="s">
        <v>286</v>
      </c>
      <c r="O71">
        <f t="shared" si="12"/>
        <v>20000</v>
      </c>
      <c r="P71" s="14">
        <v>20500</v>
      </c>
      <c r="Q71" s="17">
        <f t="shared" si="16"/>
        <v>20500</v>
      </c>
      <c r="R71" t="s">
        <v>50</v>
      </c>
      <c r="S71" t="str">
        <f t="shared" si="17"/>
        <v>Sim</v>
      </c>
      <c r="T71">
        <v>8</v>
      </c>
      <c r="U71">
        <f t="shared" si="18"/>
        <v>8</v>
      </c>
      <c r="V71" t="s">
        <v>50</v>
      </c>
      <c r="W71">
        <v>44000</v>
      </c>
      <c r="X71">
        <f t="shared" si="19"/>
        <v>44000</v>
      </c>
      <c r="Y71" t="str">
        <f t="shared" si="20"/>
        <v>Baixo</v>
      </c>
      <c r="Z71" t="str">
        <f>IF(AND(Y71="Alto",S71="Sim"),"Negada","Aprovada")</f>
        <v>Aprovada</v>
      </c>
      <c r="AA71" t="str">
        <f t="shared" si="21"/>
        <v>Aprovada</v>
      </c>
      <c r="AB71">
        <f>IF(AND(Z71="Negada",AA71="Negada"),"Já foi negado",IF(B71="Ativo",X71*8%,"Não liberado"))</f>
        <v>3520</v>
      </c>
    </row>
    <row r="72" spans="1:28">
      <c r="A72" t="s">
        <v>88</v>
      </c>
      <c r="B72" t="str">
        <f t="shared" si="13"/>
        <v>Ativo</v>
      </c>
      <c r="C72" t="str">
        <f t="shared" si="14"/>
        <v>Podrick Blackwood</v>
      </c>
      <c r="D72" s="15" t="s">
        <v>287</v>
      </c>
      <c r="E72" s="16" t="s">
        <v>288</v>
      </c>
      <c r="F72" s="16" t="str">
        <f t="shared" si="22"/>
        <v>000.000.135-00</v>
      </c>
      <c r="H72">
        <f t="shared" ca="1" si="23"/>
        <v>32</v>
      </c>
      <c r="I72" s="12">
        <v>34411</v>
      </c>
      <c r="J72" t="s">
        <v>193</v>
      </c>
      <c r="K72" t="str">
        <f t="shared" si="15"/>
        <v>Dorne</v>
      </c>
      <c r="L72" t="s">
        <v>193</v>
      </c>
      <c r="M72" t="str" cm="1">
        <f t="array" ref="M72">PROPER(IF(L72&lt;&gt;"",L72,_xlfn.XLOOKUP(1,($K$2:$K$398=K72)*($L$2:$L$398&lt;&gt;""),$L$2:$L$398,"")))</f>
        <v>Dorne</v>
      </c>
      <c r="O72" t="str">
        <f t="shared" si="12"/>
        <v>Não informado</v>
      </c>
      <c r="P72">
        <v>0</v>
      </c>
      <c r="Q72" s="17">
        <f t="shared" si="16"/>
        <v>0</v>
      </c>
      <c r="R72" t="s">
        <v>49</v>
      </c>
      <c r="S72" t="str">
        <f t="shared" si="17"/>
        <v>Não</v>
      </c>
      <c r="T72">
        <v>20</v>
      </c>
      <c r="U72">
        <f t="shared" si="18"/>
        <v>20</v>
      </c>
      <c r="V72" t="s">
        <v>49</v>
      </c>
      <c r="W72">
        <v>42000</v>
      </c>
      <c r="X72">
        <f t="shared" si="19"/>
        <v>42000</v>
      </c>
      <c r="Y72" t="str">
        <f t="shared" si="20"/>
        <v>Médio</v>
      </c>
      <c r="Z72" t="str">
        <f>IF(AND(Y72="Alto",S72="Sim"),"Negada","Aprovada")</f>
        <v>Aprovada</v>
      </c>
      <c r="AA72" t="str">
        <f t="shared" si="21"/>
        <v>Aprovada</v>
      </c>
      <c r="AB72">
        <f>IF(AND(Z72="Negada",AA72="Negada"),"Já foi negado",IF(B72="Ativo",X72*8%,"Não liberado"))</f>
        <v>3360</v>
      </c>
    </row>
    <row r="73" spans="1:28">
      <c r="A73" t="s">
        <v>88</v>
      </c>
      <c r="B73" t="str">
        <f t="shared" si="13"/>
        <v>Ativo</v>
      </c>
      <c r="C73" t="str">
        <f t="shared" si="14"/>
        <v>Renly Mallister</v>
      </c>
      <c r="D73" s="15" t="s">
        <v>289</v>
      </c>
      <c r="E73" s="16" t="s">
        <v>290</v>
      </c>
      <c r="F73" s="16" t="str">
        <f t="shared" si="22"/>
        <v>000.000.372-00</v>
      </c>
      <c r="G73">
        <v>34</v>
      </c>
      <c r="H73">
        <f t="shared" ca="1" si="23"/>
        <v>34</v>
      </c>
      <c r="I73" s="12">
        <v>33525</v>
      </c>
      <c r="J73" t="s">
        <v>179</v>
      </c>
      <c r="K73" t="str">
        <f t="shared" si="15"/>
        <v>Winterfell</v>
      </c>
      <c r="M73" t="str" cm="1">
        <f t="array" ref="M73">PROPER(IF(L73&lt;&gt;"",L73,_xlfn.XLOOKUP(1,($K$2:$K$398=K73)*($L$2:$L$398&lt;&gt;""),$L$2:$L$398,"")))</f>
        <v>Norte</v>
      </c>
      <c r="N73">
        <v>28000</v>
      </c>
      <c r="O73">
        <f t="shared" si="12"/>
        <v>28000</v>
      </c>
      <c r="P73">
        <v>36500</v>
      </c>
      <c r="Q73" s="17">
        <f t="shared" si="16"/>
        <v>36500</v>
      </c>
      <c r="R73" t="s">
        <v>49</v>
      </c>
      <c r="S73" t="str">
        <f t="shared" si="17"/>
        <v>Não</v>
      </c>
      <c r="T73">
        <v>33</v>
      </c>
      <c r="U73">
        <f t="shared" si="18"/>
        <v>33</v>
      </c>
      <c r="V73" t="s">
        <v>49</v>
      </c>
      <c r="W73">
        <v>60000</v>
      </c>
      <c r="X73">
        <f t="shared" si="19"/>
        <v>60000</v>
      </c>
      <c r="Y73" t="str">
        <f t="shared" si="20"/>
        <v>Alto</v>
      </c>
      <c r="Z73" t="str">
        <f>IF(AND(Y73="Alto",S73="Sim"),"Negada","Aprovada")</f>
        <v>Aprovada</v>
      </c>
      <c r="AA73" t="str">
        <f t="shared" si="21"/>
        <v>Aprovada</v>
      </c>
      <c r="AB73">
        <f>IF(AND(Z73="Negada",AA73="Negada"),"Já foi negado",IF(B73="Ativo",X73*8%,"Não liberado"))</f>
        <v>4800</v>
      </c>
    </row>
    <row r="74" spans="1:28">
      <c r="A74" t="s">
        <v>88</v>
      </c>
      <c r="B74" t="str">
        <f t="shared" si="13"/>
        <v>Ativo</v>
      </c>
      <c r="C74" t="str">
        <f t="shared" si="14"/>
        <v>Cersei Clegane</v>
      </c>
      <c r="D74" s="15" t="s">
        <v>291</v>
      </c>
      <c r="E74" s="16" t="s">
        <v>292</v>
      </c>
      <c r="F74" s="16" t="str">
        <f t="shared" si="22"/>
        <v>000.000.323-00</v>
      </c>
      <c r="G74">
        <v>24</v>
      </c>
      <c r="H74">
        <f t="shared" ca="1" si="23"/>
        <v>24</v>
      </c>
      <c r="I74" s="12">
        <v>37259</v>
      </c>
      <c r="J74" t="s">
        <v>193</v>
      </c>
      <c r="K74" t="str">
        <f t="shared" si="15"/>
        <v>Dorne</v>
      </c>
      <c r="L74" t="s">
        <v>193</v>
      </c>
      <c r="M74" t="str" cm="1">
        <f t="array" ref="M74">PROPER(IF(L74&lt;&gt;"",L74,_xlfn.XLOOKUP(1,($K$2:$K$398=K74)*($L$2:$L$398&lt;&gt;""),$L$2:$L$398,"")))</f>
        <v>Dorne</v>
      </c>
      <c r="N74">
        <v>25200</v>
      </c>
      <c r="O74">
        <f t="shared" si="12"/>
        <v>25200</v>
      </c>
      <c r="P74">
        <v>0</v>
      </c>
      <c r="Q74" s="17">
        <f t="shared" si="16"/>
        <v>0</v>
      </c>
      <c r="R74" t="s">
        <v>49</v>
      </c>
      <c r="S74" t="str">
        <f t="shared" si="17"/>
        <v>Não</v>
      </c>
      <c r="T74">
        <v>10</v>
      </c>
      <c r="U74">
        <f t="shared" si="18"/>
        <v>10</v>
      </c>
      <c r="V74" t="s">
        <v>49</v>
      </c>
      <c r="W74">
        <v>69500</v>
      </c>
      <c r="X74">
        <f t="shared" si="19"/>
        <v>69500</v>
      </c>
      <c r="Y74" t="str">
        <f t="shared" si="20"/>
        <v>Baixo</v>
      </c>
      <c r="Z74" t="str">
        <f>IF(AND(Y74="Alto",S74="Sim"),"Negada","Aprovada")</f>
        <v>Aprovada</v>
      </c>
      <c r="AA74" t="str">
        <f t="shared" si="21"/>
        <v>Aprovada</v>
      </c>
      <c r="AB74">
        <f>IF(AND(Z74="Negada",AA74="Negada"),"Já foi negado",IF(B74="Ativo",X74*8%,"Não liberado"))</f>
        <v>5560</v>
      </c>
    </row>
    <row r="75" spans="1:28">
      <c r="A75" t="s">
        <v>88</v>
      </c>
      <c r="B75" t="str">
        <f t="shared" si="13"/>
        <v>Ativo</v>
      </c>
      <c r="C75" t="str">
        <f t="shared" si="14"/>
        <v>Beric Crakehall</v>
      </c>
      <c r="D75" s="15" t="s">
        <v>293</v>
      </c>
      <c r="E75" s="16" t="s">
        <v>294</v>
      </c>
      <c r="F75" s="16" t="str">
        <f t="shared" si="22"/>
        <v>000.000.067-00</v>
      </c>
      <c r="G75">
        <v>55</v>
      </c>
      <c r="H75">
        <f t="shared" ca="1" si="23"/>
        <v>55</v>
      </c>
      <c r="I75" s="12">
        <v>26104</v>
      </c>
      <c r="J75" t="s">
        <v>121</v>
      </c>
      <c r="K75" t="str">
        <f t="shared" si="15"/>
        <v>Pyke</v>
      </c>
      <c r="L75" t="s">
        <v>122</v>
      </c>
      <c r="M75" t="str" cm="1">
        <f t="array" ref="M75">PROPER(IF(L75&lt;&gt;"",L75,_xlfn.XLOOKUP(1,($K$2:$K$398=K75)*($L$2:$L$398&lt;&gt;""),$L$2:$L$398,"")))</f>
        <v>Ilhas De Ferro</v>
      </c>
      <c r="N75" s="14">
        <v>22100</v>
      </c>
      <c r="O75">
        <f t="shared" si="12"/>
        <v>22100</v>
      </c>
      <c r="P75">
        <v>41500</v>
      </c>
      <c r="Q75" s="17">
        <f t="shared" si="16"/>
        <v>41500</v>
      </c>
      <c r="R75" t="s">
        <v>49</v>
      </c>
      <c r="S75" t="str">
        <f t="shared" si="17"/>
        <v>Não</v>
      </c>
      <c r="T75">
        <v>18</v>
      </c>
      <c r="U75">
        <f t="shared" si="18"/>
        <v>18</v>
      </c>
      <c r="V75" t="s">
        <v>49</v>
      </c>
      <c r="W75">
        <v>65000</v>
      </c>
      <c r="X75">
        <f t="shared" si="19"/>
        <v>65000</v>
      </c>
      <c r="Y75" t="str">
        <f t="shared" si="20"/>
        <v>Médio</v>
      </c>
      <c r="Z75" t="str">
        <f>IF(AND(Y75="Alto",S75="Sim"),"Negada","Aprovada")</f>
        <v>Aprovada</v>
      </c>
      <c r="AA75" t="str">
        <f t="shared" si="21"/>
        <v>Aprovada</v>
      </c>
      <c r="AB75">
        <f>IF(AND(Z75="Negada",AA75="Negada"),"Já foi negado",IF(B75="Ativo",X75*8%,"Não liberado"))</f>
        <v>5200</v>
      </c>
    </row>
    <row r="76" spans="1:28">
      <c r="A76" t="s">
        <v>93</v>
      </c>
      <c r="B76" t="str">
        <f t="shared" si="13"/>
        <v>Inativo</v>
      </c>
      <c r="C76" t="str">
        <f t="shared" si="14"/>
        <v>Ellaria Bracken</v>
      </c>
      <c r="D76" s="15" t="s">
        <v>295</v>
      </c>
      <c r="E76" s="16" t="s">
        <v>296</v>
      </c>
      <c r="F76" s="16" t="str">
        <f t="shared" si="22"/>
        <v>000.000.138-00</v>
      </c>
      <c r="G76">
        <v>59</v>
      </c>
      <c r="H76">
        <f t="shared" ca="1" si="23"/>
        <v>59</v>
      </c>
      <c r="I76" s="12">
        <v>24512</v>
      </c>
      <c r="J76" t="s">
        <v>226</v>
      </c>
      <c r="K76" t="str">
        <f t="shared" si="15"/>
        <v>Monte Chifre</v>
      </c>
      <c r="L76" t="s">
        <v>222</v>
      </c>
      <c r="M76" t="str" cm="1">
        <f t="array" ref="M76">PROPER(IF(L76&lt;&gt;"",L76,_xlfn.XLOOKUP(1,($K$2:$K$398=K76)*($L$2:$L$398&lt;&gt;""),$L$2:$L$398,"")))</f>
        <v>Campina</v>
      </c>
      <c r="N76">
        <v>6300</v>
      </c>
      <c r="O76">
        <f t="shared" si="12"/>
        <v>6300</v>
      </c>
      <c r="P76">
        <v>15000</v>
      </c>
      <c r="Q76" s="17">
        <f t="shared" si="16"/>
        <v>15000</v>
      </c>
      <c r="R76" t="s">
        <v>49</v>
      </c>
      <c r="S76" t="str">
        <f t="shared" si="17"/>
        <v>Não</v>
      </c>
      <c r="T76">
        <v>42</v>
      </c>
      <c r="U76">
        <f t="shared" si="18"/>
        <v>42</v>
      </c>
      <c r="V76" t="s">
        <v>49</v>
      </c>
      <c r="W76">
        <v>8500</v>
      </c>
      <c r="X76">
        <f t="shared" si="19"/>
        <v>8500</v>
      </c>
      <c r="Y76" t="str">
        <f t="shared" si="20"/>
        <v>Alto</v>
      </c>
      <c r="Z76" t="str">
        <f>IF(AND(Y76="Alto",S76="Sim"),"Negada","Aprovada")</f>
        <v>Aprovada</v>
      </c>
      <c r="AA76" t="str">
        <f t="shared" si="21"/>
        <v>Aprovada</v>
      </c>
      <c r="AB76" t="str">
        <f>IF(AND(Z76="Negada",AA76="Negada"),"Já foi negado",IF(B76="Ativo",X76*8%,"Não liberado"))</f>
        <v>Não liberado</v>
      </c>
    </row>
    <row r="77" spans="1:28">
      <c r="A77" t="s">
        <v>93</v>
      </c>
      <c r="B77" t="str">
        <f t="shared" si="13"/>
        <v>Inativo</v>
      </c>
      <c r="C77" t="str">
        <f t="shared" si="14"/>
        <v>Ellaria  Reed</v>
      </c>
      <c r="D77" s="15" t="s">
        <v>297</v>
      </c>
      <c r="E77" s="16" t="s">
        <v>298</v>
      </c>
      <c r="F77" s="16" t="str">
        <f t="shared" si="22"/>
        <v>000.000.311-00</v>
      </c>
      <c r="G77">
        <v>70</v>
      </c>
      <c r="H77">
        <f t="shared" ca="1" si="23"/>
        <v>70</v>
      </c>
      <c r="I77" s="12">
        <v>20502</v>
      </c>
      <c r="J77" t="s">
        <v>113</v>
      </c>
      <c r="K77" t="str">
        <f t="shared" si="15"/>
        <v>Lannisporto</v>
      </c>
      <c r="L77" t="s">
        <v>117</v>
      </c>
      <c r="M77" t="str" cm="1">
        <f t="array" ref="M77">PROPER(IF(L77&lt;&gt;"",L77,_xlfn.XLOOKUP(1,($K$2:$K$398=K77)*($L$2:$L$398&lt;&gt;""),$L$2:$L$398,"")))</f>
        <v>Oeste</v>
      </c>
      <c r="N77" s="14">
        <v>2500</v>
      </c>
      <c r="O77">
        <f t="shared" si="12"/>
        <v>2500</v>
      </c>
      <c r="P77">
        <v>0</v>
      </c>
      <c r="Q77" s="17">
        <f t="shared" si="16"/>
        <v>0</v>
      </c>
      <c r="R77" t="s">
        <v>49</v>
      </c>
      <c r="S77" t="str">
        <f t="shared" si="17"/>
        <v>Não</v>
      </c>
      <c r="T77">
        <v>38</v>
      </c>
      <c r="U77">
        <f t="shared" si="18"/>
        <v>38</v>
      </c>
      <c r="V77" t="s">
        <v>49</v>
      </c>
      <c r="W77">
        <v>44500</v>
      </c>
      <c r="X77">
        <f t="shared" si="19"/>
        <v>44500</v>
      </c>
      <c r="Y77" t="str">
        <f t="shared" si="20"/>
        <v>Alto</v>
      </c>
      <c r="Z77" t="str">
        <f>IF(AND(Y77="Alto",S77="Sim"),"Negada","Aprovada")</f>
        <v>Aprovada</v>
      </c>
      <c r="AA77" t="str">
        <f t="shared" si="21"/>
        <v>Aprovada</v>
      </c>
      <c r="AB77" t="str">
        <f>IF(AND(Z77="Negada",AA77="Negada"),"Já foi negado",IF(B77="Ativo",X77*8%,"Não liberado"))</f>
        <v>Não liberado</v>
      </c>
    </row>
    <row r="78" spans="1:28">
      <c r="A78" t="s">
        <v>88</v>
      </c>
      <c r="B78" t="str">
        <f t="shared" si="13"/>
        <v>Ativo</v>
      </c>
      <c r="C78" t="str">
        <f t="shared" si="14"/>
        <v>Daenerys Tallhart</v>
      </c>
      <c r="D78" s="15" t="s">
        <v>299</v>
      </c>
      <c r="E78" s="16" t="s">
        <v>300</v>
      </c>
      <c r="F78" s="16" t="str">
        <f t="shared" si="22"/>
        <v>000.000.092-00</v>
      </c>
      <c r="G78">
        <v>37</v>
      </c>
      <c r="H78">
        <f t="shared" ca="1" si="23"/>
        <v>37</v>
      </c>
      <c r="I78" s="12">
        <v>32543</v>
      </c>
      <c r="J78" t="s">
        <v>157</v>
      </c>
      <c r="K78" t="str">
        <f t="shared" si="15"/>
        <v>Vilavelha</v>
      </c>
      <c r="L78" t="s">
        <v>158</v>
      </c>
      <c r="M78" t="str" cm="1">
        <f t="array" ref="M78">PROPER(IF(L78&lt;&gt;"",L78,_xlfn.XLOOKUP(1,($K$2:$K$398=K78)*($L$2:$L$398&lt;&gt;""),$L$2:$L$398,"")))</f>
        <v>Campina</v>
      </c>
      <c r="N78">
        <v>29200</v>
      </c>
      <c r="O78">
        <f t="shared" si="12"/>
        <v>29200</v>
      </c>
      <c r="P78" s="13">
        <v>45000</v>
      </c>
      <c r="Q78" s="17">
        <f t="shared" si="16"/>
        <v>45000</v>
      </c>
      <c r="R78" t="s">
        <v>49</v>
      </c>
      <c r="S78" t="str">
        <f t="shared" si="17"/>
        <v>Não</v>
      </c>
      <c r="T78">
        <v>26</v>
      </c>
      <c r="U78">
        <f t="shared" si="18"/>
        <v>26</v>
      </c>
      <c r="V78" t="s">
        <v>49</v>
      </c>
      <c r="W78">
        <v>23500</v>
      </c>
      <c r="X78">
        <f t="shared" si="19"/>
        <v>23500</v>
      </c>
      <c r="Y78" t="str">
        <f t="shared" si="20"/>
        <v>Alto</v>
      </c>
      <c r="Z78" t="str">
        <f>IF(AND(Y78="Alto",S78="Sim"),"Negada","Aprovada")</f>
        <v>Aprovada</v>
      </c>
      <c r="AA78" t="str">
        <f t="shared" si="21"/>
        <v>Aprovada</v>
      </c>
      <c r="AB78">
        <f>IF(AND(Z78="Negada",AA78="Negada"),"Já foi negado",IF(B78="Ativo",X78*8%,"Não liberado"))</f>
        <v>1880</v>
      </c>
    </row>
    <row r="79" spans="1:28">
      <c r="A79" t="s">
        <v>88</v>
      </c>
      <c r="B79" t="str">
        <f t="shared" si="13"/>
        <v>Ativo</v>
      </c>
      <c r="C79" t="str">
        <f t="shared" si="14"/>
        <v>Lyanna Marbrand</v>
      </c>
      <c r="D79" s="15" t="s">
        <v>301</v>
      </c>
      <c r="E79" s="16" t="s">
        <v>302</v>
      </c>
      <c r="F79" s="16" t="str">
        <f t="shared" si="22"/>
        <v>000.000.283-00</v>
      </c>
      <c r="G79">
        <v>27</v>
      </c>
      <c r="H79">
        <f t="shared" ca="1" si="23"/>
        <v>27</v>
      </c>
      <c r="I79" s="12">
        <v>36308</v>
      </c>
      <c r="J79" t="s">
        <v>147</v>
      </c>
      <c r="K79" t="str">
        <f t="shared" si="15"/>
        <v>Correrrio</v>
      </c>
      <c r="L79" t="s">
        <v>148</v>
      </c>
      <c r="M79" t="str" cm="1">
        <f t="array" ref="M79">PROPER(IF(L79&lt;&gt;"",L79,_xlfn.XLOOKUP(1,($K$2:$K$398=K79)*($L$2:$L$398&lt;&gt;""),$L$2:$L$398,"")))</f>
        <v>Terras Fluviais</v>
      </c>
      <c r="N79">
        <v>5300</v>
      </c>
      <c r="O79">
        <f t="shared" si="12"/>
        <v>5300</v>
      </c>
      <c r="P79" t="s">
        <v>303</v>
      </c>
      <c r="Q79" s="17">
        <f t="shared" si="16"/>
        <v>22000</v>
      </c>
      <c r="R79" t="s">
        <v>49</v>
      </c>
      <c r="S79" t="str">
        <f t="shared" si="17"/>
        <v>Não</v>
      </c>
      <c r="T79">
        <v>11</v>
      </c>
      <c r="U79">
        <f t="shared" si="18"/>
        <v>11</v>
      </c>
      <c r="V79" t="s">
        <v>49</v>
      </c>
      <c r="W79">
        <v>28500</v>
      </c>
      <c r="X79">
        <f t="shared" si="19"/>
        <v>28500</v>
      </c>
      <c r="Y79" t="str">
        <f t="shared" si="20"/>
        <v>Médio</v>
      </c>
      <c r="Z79" t="str">
        <f>IF(AND(Y79="Alto",S79="Sim"),"Negada","Aprovada")</f>
        <v>Aprovada</v>
      </c>
      <c r="AA79" t="str">
        <f t="shared" si="21"/>
        <v>Aprovada</v>
      </c>
      <c r="AB79">
        <f>IF(AND(Z79="Negada",AA79="Negada"),"Já foi negado",IF(B79="Ativo",X79*8%,"Não liberado"))</f>
        <v>2280</v>
      </c>
    </row>
    <row r="80" spans="1:28">
      <c r="A80" t="s">
        <v>88</v>
      </c>
      <c r="B80" t="str">
        <f t="shared" si="13"/>
        <v>Ativo</v>
      </c>
      <c r="C80" t="str">
        <f t="shared" si="14"/>
        <v>Ramsay Dondarrion</v>
      </c>
      <c r="D80" s="15" t="s">
        <v>304</v>
      </c>
      <c r="E80" s="16" t="s">
        <v>305</v>
      </c>
      <c r="F80" s="16" t="str">
        <f t="shared" si="22"/>
        <v>000.000.054-00</v>
      </c>
      <c r="G80">
        <v>55</v>
      </c>
      <c r="H80">
        <f t="shared" ca="1" si="23"/>
        <v>55</v>
      </c>
      <c r="I80" s="12">
        <v>25874</v>
      </c>
      <c r="J80" t="s">
        <v>193</v>
      </c>
      <c r="K80" t="str">
        <f t="shared" si="15"/>
        <v>Dorne</v>
      </c>
      <c r="L80" t="s">
        <v>306</v>
      </c>
      <c r="M80" t="str" cm="1">
        <f t="array" ref="M80">PROPER(IF(L80&lt;&gt;"",L80,_xlfn.XLOOKUP(1,($K$2:$K$398=K80)*($L$2:$L$398&lt;&gt;""),$L$2:$L$398,"")))</f>
        <v>Dorne</v>
      </c>
      <c r="N80" s="14">
        <v>29100</v>
      </c>
      <c r="O80">
        <f t="shared" si="12"/>
        <v>29100</v>
      </c>
      <c r="P80" t="s">
        <v>152</v>
      </c>
      <c r="Q80" s="17">
        <f t="shared" si="16"/>
        <v>5500</v>
      </c>
      <c r="R80" t="s">
        <v>49</v>
      </c>
      <c r="S80" t="str">
        <f t="shared" si="17"/>
        <v>Não</v>
      </c>
      <c r="T80">
        <v>11</v>
      </c>
      <c r="U80">
        <f t="shared" si="18"/>
        <v>11</v>
      </c>
      <c r="V80" t="s">
        <v>49</v>
      </c>
      <c r="W80">
        <v>56000</v>
      </c>
      <c r="X80">
        <f t="shared" si="19"/>
        <v>56000</v>
      </c>
      <c r="Y80" t="str">
        <f t="shared" si="20"/>
        <v>Médio</v>
      </c>
      <c r="Z80" t="str">
        <f>IF(AND(Y80="Alto",S80="Sim"),"Negada","Aprovada")</f>
        <v>Aprovada</v>
      </c>
      <c r="AA80" t="str">
        <f t="shared" si="21"/>
        <v>Aprovada</v>
      </c>
      <c r="AB80">
        <f>IF(AND(Z80="Negada",AA80="Negada"),"Já foi negado",IF(B80="Ativo",X80*8%,"Não liberado"))</f>
        <v>4480</v>
      </c>
    </row>
    <row r="81" spans="1:28">
      <c r="A81" t="s">
        <v>88</v>
      </c>
      <c r="B81" t="str">
        <f t="shared" si="13"/>
        <v>Ativo</v>
      </c>
      <c r="C81" t="str">
        <f t="shared" si="14"/>
        <v>Thoros  Baelish</v>
      </c>
      <c r="D81" s="15" t="s">
        <v>307</v>
      </c>
      <c r="E81" s="16" t="s">
        <v>308</v>
      </c>
      <c r="F81" s="16" t="str">
        <f t="shared" si="22"/>
        <v>000.000.011-00</v>
      </c>
      <c r="G81">
        <v>53</v>
      </c>
      <c r="H81">
        <f t="shared" ca="1" si="23"/>
        <v>53</v>
      </c>
      <c r="I81" s="12">
        <v>26812</v>
      </c>
      <c r="J81" t="s">
        <v>130</v>
      </c>
      <c r="K81" t="str">
        <f t="shared" si="15"/>
        <v>Meereen</v>
      </c>
      <c r="L81" t="s">
        <v>131</v>
      </c>
      <c r="M81" t="str" cm="1">
        <f t="array" ref="M81">PROPER(IF(L81&lt;&gt;"",L81,_xlfn.XLOOKUP(1,($K$2:$K$398=K81)*($L$2:$L$398&lt;&gt;""),$L$2:$L$398,"")))</f>
        <v>Essos</v>
      </c>
      <c r="N81">
        <v>27800</v>
      </c>
      <c r="O81">
        <f t="shared" si="12"/>
        <v>27800</v>
      </c>
      <c r="P81" s="13">
        <v>52000</v>
      </c>
      <c r="Q81" s="17">
        <f t="shared" si="16"/>
        <v>52000</v>
      </c>
      <c r="R81" t="s">
        <v>49</v>
      </c>
      <c r="S81" t="str">
        <f t="shared" si="17"/>
        <v>Não</v>
      </c>
      <c r="T81">
        <v>43</v>
      </c>
      <c r="U81">
        <f t="shared" si="18"/>
        <v>43</v>
      </c>
      <c r="V81" t="s">
        <v>49</v>
      </c>
      <c r="W81">
        <v>93500</v>
      </c>
      <c r="X81">
        <f t="shared" si="19"/>
        <v>93500</v>
      </c>
      <c r="Y81" t="str">
        <f t="shared" si="20"/>
        <v>Alto</v>
      </c>
      <c r="Z81" t="str">
        <f>IF(AND(Y81="Alto",S81="Sim"),"Negada","Aprovada")</f>
        <v>Aprovada</v>
      </c>
      <c r="AA81" t="str">
        <f t="shared" si="21"/>
        <v>Aprovada</v>
      </c>
      <c r="AB81">
        <f>IF(AND(Z81="Negada",AA81="Negada"),"Já foi negado",IF(B81="Ativo",X81*8%,"Não liberado"))</f>
        <v>7480</v>
      </c>
    </row>
    <row r="82" spans="1:28">
      <c r="A82" t="s">
        <v>88</v>
      </c>
      <c r="B82" t="str">
        <f t="shared" si="13"/>
        <v>Ativo</v>
      </c>
      <c r="C82" t="str">
        <f t="shared" si="14"/>
        <v>Melisandre Blackwood</v>
      </c>
      <c r="D82" s="15" t="s">
        <v>309</v>
      </c>
      <c r="E82" s="16" t="s">
        <v>310</v>
      </c>
      <c r="F82" s="16" t="str">
        <f t="shared" si="22"/>
        <v>000.000.051-00</v>
      </c>
      <c r="G82">
        <v>40</v>
      </c>
      <c r="H82">
        <f t="shared" ca="1" si="23"/>
        <v>40</v>
      </c>
      <c r="I82" s="12">
        <v>31647</v>
      </c>
      <c r="J82" t="s">
        <v>171</v>
      </c>
      <c r="K82" t="str">
        <f t="shared" si="15"/>
        <v>Fosso Cailin</v>
      </c>
      <c r="L82" t="s">
        <v>151</v>
      </c>
      <c r="M82" t="str" cm="1">
        <f t="array" ref="M82">PROPER(IF(L82&lt;&gt;"",L82,_xlfn.XLOOKUP(1,($K$2:$K$398=K82)*($L$2:$L$398&lt;&gt;""),$L$2:$L$398,"")))</f>
        <v>Norte</v>
      </c>
      <c r="N82" s="13">
        <v>18700</v>
      </c>
      <c r="O82">
        <f t="shared" si="12"/>
        <v>18700</v>
      </c>
      <c r="P82">
        <v>15000</v>
      </c>
      <c r="Q82" s="17">
        <f t="shared" si="16"/>
        <v>15000</v>
      </c>
      <c r="S82" t="str">
        <f t="shared" si="17"/>
        <v>Não</v>
      </c>
      <c r="T82">
        <v>26</v>
      </c>
      <c r="U82">
        <f t="shared" si="18"/>
        <v>26</v>
      </c>
      <c r="W82">
        <v>89500</v>
      </c>
      <c r="X82">
        <f t="shared" si="19"/>
        <v>89500</v>
      </c>
      <c r="Y82" t="str">
        <f t="shared" si="20"/>
        <v>Alto</v>
      </c>
      <c r="Z82" t="str">
        <f>IF(AND(Y82="Alto",S82="Sim"),"Negada","Aprovada")</f>
        <v>Aprovada</v>
      </c>
      <c r="AA82" t="str">
        <f t="shared" si="21"/>
        <v>Aprovada</v>
      </c>
      <c r="AB82">
        <f>IF(AND(Z82="Negada",AA82="Negada"),"Já foi negado",IF(B82="Ativo",X82*8%,"Não liberado"))</f>
        <v>7160</v>
      </c>
    </row>
    <row r="83" spans="1:28">
      <c r="A83" t="s">
        <v>88</v>
      </c>
      <c r="B83" t="str">
        <f t="shared" si="13"/>
        <v>Ativo</v>
      </c>
      <c r="C83" t="str">
        <f t="shared" si="14"/>
        <v>Yara Baelish</v>
      </c>
      <c r="D83" s="15" t="s">
        <v>311</v>
      </c>
      <c r="E83" s="16">
        <v>34400</v>
      </c>
      <c r="F83" s="16" t="str">
        <f t="shared" si="22"/>
        <v>000.000.344-00</v>
      </c>
      <c r="G83">
        <v>64</v>
      </c>
      <c r="H83">
        <f t="shared" ca="1" si="23"/>
        <v>64</v>
      </c>
      <c r="I83" s="12">
        <v>22836</v>
      </c>
      <c r="J83" t="s">
        <v>312</v>
      </c>
      <c r="K83" t="str">
        <f t="shared" si="15"/>
        <v>Solar do Entardecer</v>
      </c>
      <c r="L83" t="s">
        <v>313</v>
      </c>
      <c r="M83" t="str" cm="1">
        <f t="array" ref="M83">PROPER(IF(L83&lt;&gt;"",L83,_xlfn.XLOOKUP(1,($K$2:$K$398=K83)*($L$2:$L$398&lt;&gt;""),$L$2:$L$398,"")))</f>
        <v>Terras Da Tempestade</v>
      </c>
      <c r="N83">
        <v>24300</v>
      </c>
      <c r="O83">
        <f t="shared" si="12"/>
        <v>24300</v>
      </c>
      <c r="P83" s="14">
        <v>16500</v>
      </c>
      <c r="Q83" s="17">
        <f t="shared" si="16"/>
        <v>16500</v>
      </c>
      <c r="R83" t="s">
        <v>50</v>
      </c>
      <c r="S83" t="str">
        <f t="shared" si="17"/>
        <v>Sim</v>
      </c>
      <c r="T83">
        <v>24</v>
      </c>
      <c r="U83">
        <f t="shared" si="18"/>
        <v>24</v>
      </c>
      <c r="V83" t="s">
        <v>50</v>
      </c>
      <c r="W83">
        <v>57000</v>
      </c>
      <c r="X83">
        <f t="shared" si="19"/>
        <v>57000</v>
      </c>
      <c r="Y83" t="str">
        <f t="shared" si="20"/>
        <v>Médio</v>
      </c>
      <c r="Z83" t="str">
        <f>IF(AND(Y83="Alto",S83="Sim"),"Negada","Aprovada")</f>
        <v>Aprovada</v>
      </c>
      <c r="AA83" t="str">
        <f t="shared" si="21"/>
        <v>Aprovada</v>
      </c>
      <c r="AB83">
        <f>IF(AND(Z83="Negada",AA83="Negada"),"Já foi negado",IF(B83="Ativo",X83*8%,"Não liberado"))</f>
        <v>4560</v>
      </c>
    </row>
    <row r="84" spans="1:28">
      <c r="A84" t="s">
        <v>88</v>
      </c>
      <c r="B84" t="str">
        <f t="shared" si="13"/>
        <v>Ativo</v>
      </c>
      <c r="C84" t="str">
        <f t="shared" si="14"/>
        <v>Cersei Stark</v>
      </c>
      <c r="D84" s="15" t="s">
        <v>314</v>
      </c>
      <c r="E84" s="16" t="s">
        <v>315</v>
      </c>
      <c r="F84" s="16" t="str">
        <f t="shared" si="22"/>
        <v>000.000.293-00</v>
      </c>
      <c r="G84">
        <v>25</v>
      </c>
      <c r="H84">
        <f t="shared" ca="1" si="23"/>
        <v>25</v>
      </c>
      <c r="I84" s="12">
        <v>37091</v>
      </c>
      <c r="J84" t="s">
        <v>91</v>
      </c>
      <c r="K84" t="str">
        <f t="shared" si="15"/>
        <v>Ninho da Águia</v>
      </c>
      <c r="L84" t="s">
        <v>92</v>
      </c>
      <c r="M84" t="str" cm="1">
        <f t="array" ref="M84">PROPER(IF(L84&lt;&gt;"",L84,_xlfn.XLOOKUP(1,($K$2:$K$398=K84)*($L$2:$L$398&lt;&gt;""),$L$2:$L$398,"")))</f>
        <v>Vale</v>
      </c>
      <c r="N84" s="14">
        <v>28800</v>
      </c>
      <c r="O84">
        <f t="shared" si="12"/>
        <v>28800</v>
      </c>
      <c r="Q84" s="17">
        <f t="shared" si="16"/>
        <v>0</v>
      </c>
      <c r="R84" t="s">
        <v>49</v>
      </c>
      <c r="S84" t="str">
        <f t="shared" si="17"/>
        <v>Não</v>
      </c>
      <c r="T84">
        <v>12</v>
      </c>
      <c r="U84">
        <f t="shared" si="18"/>
        <v>12</v>
      </c>
      <c r="V84" t="s">
        <v>49</v>
      </c>
      <c r="W84">
        <v>46500</v>
      </c>
      <c r="X84">
        <f t="shared" si="19"/>
        <v>46500</v>
      </c>
      <c r="Y84" t="str">
        <f t="shared" si="20"/>
        <v>Médio</v>
      </c>
      <c r="Z84" t="str">
        <f>IF(AND(Y84="Alto",S84="Sim"),"Negada","Aprovada")</f>
        <v>Aprovada</v>
      </c>
      <c r="AA84" t="str">
        <f t="shared" si="21"/>
        <v>Aprovada</v>
      </c>
      <c r="AB84">
        <f>IF(AND(Z84="Negada",AA84="Negada"),"Já foi negado",IF(B84="Ativo",X84*8%,"Não liberado"))</f>
        <v>3720</v>
      </c>
    </row>
    <row r="85" spans="1:28">
      <c r="A85" t="s">
        <v>88</v>
      </c>
      <c r="B85" t="str">
        <f t="shared" si="13"/>
        <v>Ativo</v>
      </c>
      <c r="C85" t="str">
        <f t="shared" si="14"/>
        <v>Jon  Karstark</v>
      </c>
      <c r="D85" s="15" t="s">
        <v>316</v>
      </c>
      <c r="E85" s="16" t="s">
        <v>317</v>
      </c>
      <c r="F85" s="16" t="str">
        <f t="shared" si="22"/>
        <v>000.000.139-00</v>
      </c>
      <c r="G85" t="s">
        <v>318</v>
      </c>
      <c r="H85">
        <f t="shared" ca="1" si="23"/>
        <v>55</v>
      </c>
      <c r="I85" s="12">
        <v>26161</v>
      </c>
      <c r="J85" t="s">
        <v>182</v>
      </c>
      <c r="K85" t="str">
        <f t="shared" si="15"/>
        <v>Jardim de Cima</v>
      </c>
      <c r="M85" t="str" cm="1">
        <f t="array" ref="M85">PROPER(IF(L85&lt;&gt;"",L85,_xlfn.XLOOKUP(1,($K$2:$K$398=K85)*($L$2:$L$398&lt;&gt;""),$L$2:$L$398,"")))</f>
        <v>Campina</v>
      </c>
      <c r="N85">
        <v>12200</v>
      </c>
      <c r="O85">
        <f t="shared" si="12"/>
        <v>12200</v>
      </c>
      <c r="P85" t="s">
        <v>319</v>
      </c>
      <c r="Q85" s="17">
        <f t="shared" si="16"/>
        <v>70500</v>
      </c>
      <c r="R85" t="s">
        <v>49</v>
      </c>
      <c r="S85" t="str">
        <f t="shared" si="17"/>
        <v>Não</v>
      </c>
      <c r="T85">
        <v>33</v>
      </c>
      <c r="U85">
        <f t="shared" si="18"/>
        <v>33</v>
      </c>
      <c r="V85" t="s">
        <v>49</v>
      </c>
      <c r="W85">
        <v>78000</v>
      </c>
      <c r="X85">
        <f t="shared" si="19"/>
        <v>78000</v>
      </c>
      <c r="Y85" t="str">
        <f t="shared" si="20"/>
        <v>Alto</v>
      </c>
      <c r="Z85" t="str">
        <f>IF(AND(Y85="Alto",S85="Sim"),"Negada","Aprovada")</f>
        <v>Aprovada</v>
      </c>
      <c r="AA85" t="str">
        <f t="shared" si="21"/>
        <v>Aprovada</v>
      </c>
      <c r="AB85">
        <f>IF(AND(Z85="Negada",AA85="Negada"),"Já foi negado",IF(B85="Ativo",X85*8%,"Não liberado"))</f>
        <v>6240</v>
      </c>
    </row>
    <row r="86" spans="1:28">
      <c r="A86" t="s">
        <v>88</v>
      </c>
      <c r="B86" t="str">
        <f t="shared" si="13"/>
        <v>Ativo</v>
      </c>
      <c r="C86" t="str">
        <f t="shared" si="14"/>
        <v>Yara Royce</v>
      </c>
      <c r="D86" s="15" t="s">
        <v>320</v>
      </c>
      <c r="E86" s="16">
        <v>32000</v>
      </c>
      <c r="F86" s="16" t="str">
        <f t="shared" si="22"/>
        <v>000.000.320-00</v>
      </c>
      <c r="G86">
        <v>68</v>
      </c>
      <c r="H86">
        <f t="shared" ca="1" si="23"/>
        <v>68</v>
      </c>
      <c r="I86" s="12">
        <v>21162</v>
      </c>
      <c r="J86" t="s">
        <v>150</v>
      </c>
      <c r="K86" t="str">
        <f t="shared" si="15"/>
        <v>Castelo Negro</v>
      </c>
      <c r="L86" t="s">
        <v>151</v>
      </c>
      <c r="M86" t="str" cm="1">
        <f t="array" ref="M86">PROPER(IF(L86&lt;&gt;"",L86,_xlfn.XLOOKUP(1,($K$2:$K$398=K86)*($L$2:$L$398&lt;&gt;""),$L$2:$L$398,"")))</f>
        <v>Norte</v>
      </c>
      <c r="N86" s="14">
        <v>11500</v>
      </c>
      <c r="O86">
        <f t="shared" ref="O86:O149" si="24">IF(N86="","Não informado",IFERROR(VALUE(SUBSTITUTE(SUBSTITUTE(N86,"R$ ","")," moedas","")),N86))</f>
        <v>11500</v>
      </c>
      <c r="P86">
        <v>17500</v>
      </c>
      <c r="Q86" s="17">
        <f t="shared" si="16"/>
        <v>17500</v>
      </c>
      <c r="R86" t="s">
        <v>49</v>
      </c>
      <c r="S86" t="str">
        <f t="shared" si="17"/>
        <v>Não</v>
      </c>
      <c r="T86">
        <v>19</v>
      </c>
      <c r="U86">
        <f t="shared" si="18"/>
        <v>19</v>
      </c>
      <c r="V86" t="s">
        <v>49</v>
      </c>
      <c r="W86">
        <v>26000</v>
      </c>
      <c r="X86">
        <f t="shared" si="19"/>
        <v>26000</v>
      </c>
      <c r="Y86" t="str">
        <f t="shared" si="20"/>
        <v>Médio</v>
      </c>
      <c r="Z86" t="str">
        <f>IF(AND(Y86="Alto",S86="Sim"),"Negada","Aprovada")</f>
        <v>Aprovada</v>
      </c>
      <c r="AA86" t="str">
        <f t="shared" si="21"/>
        <v>Aprovada</v>
      </c>
      <c r="AB86">
        <f>IF(AND(Z86="Negada",AA86="Negada"),"Já foi negado",IF(B86="Ativo",X86*8%,"Não liberado"))</f>
        <v>2080</v>
      </c>
    </row>
    <row r="87" spans="1:28">
      <c r="A87" t="s">
        <v>88</v>
      </c>
      <c r="B87" t="str">
        <f t="shared" si="13"/>
        <v>Ativo</v>
      </c>
      <c r="C87" t="str">
        <f t="shared" si="14"/>
        <v>Jeor Lannister</v>
      </c>
      <c r="D87" s="15" t="s">
        <v>321</v>
      </c>
      <c r="E87" s="16" t="s">
        <v>322</v>
      </c>
      <c r="F87" s="16" t="str">
        <f t="shared" si="22"/>
        <v>000.000.091-00</v>
      </c>
      <c r="G87">
        <v>37</v>
      </c>
      <c r="H87">
        <f t="shared" ca="1" si="23"/>
        <v>37</v>
      </c>
      <c r="I87" s="12">
        <v>32412</v>
      </c>
      <c r="J87" t="s">
        <v>171</v>
      </c>
      <c r="K87" t="str">
        <f t="shared" si="15"/>
        <v>Fosso Cailin</v>
      </c>
      <c r="L87" t="s">
        <v>186</v>
      </c>
      <c r="M87" t="str" cm="1">
        <f t="array" ref="M87">PROPER(IF(L87&lt;&gt;"",L87,_xlfn.XLOOKUP(1,($K$2:$K$398=K87)*($L$2:$L$398&lt;&gt;""),$L$2:$L$398,"")))</f>
        <v>Norte</v>
      </c>
      <c r="N87">
        <v>24700</v>
      </c>
      <c r="O87">
        <f t="shared" si="24"/>
        <v>24700</v>
      </c>
      <c r="P87" s="13">
        <v>23000</v>
      </c>
      <c r="Q87" s="17">
        <f t="shared" si="16"/>
        <v>23000</v>
      </c>
      <c r="R87" t="s">
        <v>50</v>
      </c>
      <c r="S87" t="str">
        <f t="shared" si="17"/>
        <v>Sim</v>
      </c>
      <c r="T87" t="s">
        <v>323</v>
      </c>
      <c r="U87">
        <f t="shared" si="18"/>
        <v>10</v>
      </c>
      <c r="V87" t="s">
        <v>50</v>
      </c>
      <c r="W87">
        <v>37500</v>
      </c>
      <c r="X87">
        <f t="shared" si="19"/>
        <v>37500</v>
      </c>
      <c r="Y87" t="str">
        <f t="shared" si="20"/>
        <v>Baixo</v>
      </c>
      <c r="Z87" t="str">
        <f>IF(AND(Y87="Alto",S87="Sim"),"Negada","Aprovada")</f>
        <v>Aprovada</v>
      </c>
      <c r="AA87" t="str">
        <f t="shared" si="21"/>
        <v>Aprovada</v>
      </c>
      <c r="AB87">
        <f>IF(AND(Z87="Negada",AA87="Negada"),"Já foi negado",IF(B87="Ativo",X87*8%,"Não liberado"))</f>
        <v>3000</v>
      </c>
    </row>
    <row r="88" spans="1:28">
      <c r="A88" t="s">
        <v>88</v>
      </c>
      <c r="B88" t="str">
        <f t="shared" si="13"/>
        <v>Ativo</v>
      </c>
      <c r="C88" t="str">
        <f t="shared" si="14"/>
        <v>Bran Florent</v>
      </c>
      <c r="D88" s="15" t="s">
        <v>324</v>
      </c>
      <c r="E88" s="16" t="s">
        <v>325</v>
      </c>
      <c r="F88" s="16" t="str">
        <f t="shared" si="22"/>
        <v>000.000.218-00</v>
      </c>
      <c r="G88">
        <v>62</v>
      </c>
      <c r="H88">
        <f t="shared" ca="1" si="23"/>
        <v>62</v>
      </c>
      <c r="I88" s="12">
        <v>23488</v>
      </c>
      <c r="J88" t="s">
        <v>91</v>
      </c>
      <c r="K88" t="str">
        <f t="shared" si="15"/>
        <v>Ninho da Águia</v>
      </c>
      <c r="L88" t="s">
        <v>92</v>
      </c>
      <c r="M88" t="str" cm="1">
        <f t="array" ref="M88">PROPER(IF(L88&lt;&gt;"",L88,_xlfn.XLOOKUP(1,($K$2:$K$398=K88)*($L$2:$L$398&lt;&gt;""),$L$2:$L$398,"")))</f>
        <v>Vale</v>
      </c>
      <c r="N88" t="s">
        <v>194</v>
      </c>
      <c r="O88" t="str">
        <f t="shared" si="24"/>
        <v>sem renda</v>
      </c>
      <c r="P88" t="s">
        <v>103</v>
      </c>
      <c r="Q88" s="17" t="str">
        <f t="shared" si="16"/>
        <v>Não informado</v>
      </c>
      <c r="R88" t="s">
        <v>49</v>
      </c>
      <c r="S88" t="str">
        <f t="shared" si="17"/>
        <v>Não</v>
      </c>
      <c r="T88" t="s">
        <v>261</v>
      </c>
      <c r="U88">
        <f t="shared" si="18"/>
        <v>38</v>
      </c>
      <c r="V88" t="s">
        <v>49</v>
      </c>
      <c r="W88">
        <v>72000</v>
      </c>
      <c r="X88">
        <f t="shared" si="19"/>
        <v>72000</v>
      </c>
      <c r="Y88" t="str">
        <f t="shared" si="20"/>
        <v>Alto</v>
      </c>
      <c r="Z88" t="str">
        <f>IF(AND(Y88="Alto",S88="Sim"),"Negada","Aprovada")</f>
        <v>Aprovada</v>
      </c>
      <c r="AA88" t="str">
        <f t="shared" si="21"/>
        <v>Aprovada</v>
      </c>
      <c r="AB88">
        <f>IF(AND(Z88="Negada",AA88="Negada"),"Já foi negado",IF(B88="Ativo",X88*8%,"Não liberado"))</f>
        <v>5760</v>
      </c>
    </row>
    <row r="89" spans="1:28">
      <c r="A89" t="s">
        <v>88</v>
      </c>
      <c r="B89" t="str">
        <f t="shared" si="13"/>
        <v>Ativo</v>
      </c>
      <c r="C89" t="str">
        <f t="shared" si="14"/>
        <v>Jojen Redwyne</v>
      </c>
      <c r="D89" s="15" t="s">
        <v>326</v>
      </c>
      <c r="E89" s="16" t="s">
        <v>327</v>
      </c>
      <c r="F89" s="16" t="str">
        <f t="shared" si="22"/>
        <v>000.000.334-00</v>
      </c>
      <c r="G89" t="s">
        <v>328</v>
      </c>
      <c r="H89">
        <f t="shared" ca="1" si="23"/>
        <v>24</v>
      </c>
      <c r="I89" s="12">
        <v>37491</v>
      </c>
      <c r="J89" t="s">
        <v>193</v>
      </c>
      <c r="K89" t="str">
        <f t="shared" si="15"/>
        <v>Dorne</v>
      </c>
      <c r="L89" t="s">
        <v>306</v>
      </c>
      <c r="M89" t="str" cm="1">
        <f t="array" ref="M89">PROPER(IF(L89&lt;&gt;"",L89,_xlfn.XLOOKUP(1,($K$2:$K$398=K89)*($L$2:$L$398&lt;&gt;""),$L$2:$L$398,"")))</f>
        <v>Dorne</v>
      </c>
      <c r="N89" s="13">
        <v>8900</v>
      </c>
      <c r="O89">
        <f t="shared" si="24"/>
        <v>8900</v>
      </c>
      <c r="P89">
        <v>19500</v>
      </c>
      <c r="Q89" s="17">
        <f t="shared" si="16"/>
        <v>19500</v>
      </c>
      <c r="R89" t="s">
        <v>50</v>
      </c>
      <c r="S89" t="str">
        <f t="shared" si="17"/>
        <v>Sim</v>
      </c>
      <c r="T89">
        <v>33</v>
      </c>
      <c r="U89">
        <f t="shared" si="18"/>
        <v>33</v>
      </c>
      <c r="V89" t="s">
        <v>50</v>
      </c>
      <c r="W89">
        <v>96500</v>
      </c>
      <c r="X89">
        <f t="shared" si="19"/>
        <v>96500</v>
      </c>
      <c r="Y89" t="str">
        <f t="shared" si="20"/>
        <v>Alto</v>
      </c>
      <c r="Z89" t="str">
        <f>IF(AND(Y89="Alto",S89="Sim"),"Negada","Aprovada")</f>
        <v>Negada</v>
      </c>
      <c r="AA89" t="str">
        <f t="shared" si="21"/>
        <v>Aprovada</v>
      </c>
      <c r="AB89">
        <f>IF(AND(Z89="Negada",AA89="Negada"),"Já foi negado",IF(B89="Ativo",X89*8%,"Não liberado"))</f>
        <v>7720</v>
      </c>
    </row>
    <row r="90" spans="1:28">
      <c r="A90" t="s">
        <v>88</v>
      </c>
      <c r="B90" t="str">
        <f t="shared" si="13"/>
        <v>Ativo</v>
      </c>
      <c r="C90" t="str">
        <f t="shared" si="14"/>
        <v>Bronn Mallister</v>
      </c>
      <c r="D90" s="15" t="s">
        <v>329</v>
      </c>
      <c r="E90" s="16" t="s">
        <v>330</v>
      </c>
      <c r="F90" s="16" t="str">
        <f t="shared" si="22"/>
        <v>000.000.200-00</v>
      </c>
      <c r="G90">
        <v>35</v>
      </c>
      <c r="H90" t="str">
        <f t="shared" ca="1" si="23"/>
        <v>N/A</v>
      </c>
      <c r="J90" t="s">
        <v>157</v>
      </c>
      <c r="K90" t="str">
        <f t="shared" si="15"/>
        <v>Vilavelha</v>
      </c>
      <c r="L90" t="s">
        <v>158</v>
      </c>
      <c r="M90" t="str" cm="1">
        <f t="array" ref="M90">PROPER(IF(L90&lt;&gt;"",L90,_xlfn.XLOOKUP(1,($K$2:$K$398=K90)*($L$2:$L$398&lt;&gt;""),$L$2:$L$398,"")))</f>
        <v>Campina</v>
      </c>
      <c r="N90">
        <v>28000</v>
      </c>
      <c r="O90">
        <f t="shared" si="24"/>
        <v>28000</v>
      </c>
      <c r="P90" t="s">
        <v>331</v>
      </c>
      <c r="Q90" s="17">
        <f t="shared" si="16"/>
        <v>76500</v>
      </c>
      <c r="R90" t="s">
        <v>49</v>
      </c>
      <c r="S90" t="str">
        <f t="shared" si="17"/>
        <v>Não</v>
      </c>
      <c r="T90">
        <v>39</v>
      </c>
      <c r="U90">
        <f t="shared" si="18"/>
        <v>39</v>
      </c>
      <c r="V90" t="s">
        <v>49</v>
      </c>
      <c r="W90">
        <v>32000</v>
      </c>
      <c r="X90">
        <f t="shared" si="19"/>
        <v>32000</v>
      </c>
      <c r="Y90" t="str">
        <f t="shared" si="20"/>
        <v>Alto</v>
      </c>
      <c r="Z90" t="str">
        <f>IF(AND(Y90="Alto",S90="Sim"),"Negada","Aprovada")</f>
        <v>Aprovada</v>
      </c>
      <c r="AA90" t="str">
        <f t="shared" si="21"/>
        <v>Aprovada</v>
      </c>
      <c r="AB90">
        <f>IF(AND(Z90="Negada",AA90="Negada"),"Já foi negado",IF(B90="Ativo",X90*8%,"Não liberado"))</f>
        <v>2560</v>
      </c>
    </row>
    <row r="91" spans="1:28">
      <c r="A91" t="s">
        <v>88</v>
      </c>
      <c r="B91" t="str">
        <f t="shared" si="13"/>
        <v>Ativo</v>
      </c>
      <c r="C91" t="str">
        <f t="shared" si="14"/>
        <v>Olenna Reed</v>
      </c>
      <c r="D91" s="15" t="s">
        <v>332</v>
      </c>
      <c r="E91" s="16" t="s">
        <v>333</v>
      </c>
      <c r="F91" s="16" t="str">
        <f t="shared" si="22"/>
        <v>000.000.248-00</v>
      </c>
      <c r="G91">
        <v>40</v>
      </c>
      <c r="H91">
        <f t="shared" ca="1" si="23"/>
        <v>40</v>
      </c>
      <c r="I91" s="12">
        <v>31408</v>
      </c>
      <c r="J91" t="s">
        <v>334</v>
      </c>
      <c r="K91" t="str">
        <f t="shared" si="15"/>
        <v>Braavos</v>
      </c>
      <c r="M91" t="str" cm="1">
        <f t="array" ref="M91">PROPER(IF(L91&lt;&gt;"",L91,_xlfn.XLOOKUP(1,($K$2:$K$398=K91)*($L$2:$L$398&lt;&gt;""),$L$2:$L$398,"")))</f>
        <v>Essos</v>
      </c>
      <c r="N91">
        <v>17400</v>
      </c>
      <c r="O91">
        <f t="shared" si="24"/>
        <v>17400</v>
      </c>
      <c r="P91" s="14">
        <v>53000</v>
      </c>
      <c r="Q91" s="17">
        <f t="shared" si="16"/>
        <v>53000</v>
      </c>
      <c r="R91" t="s">
        <v>50</v>
      </c>
      <c r="S91" t="str">
        <f t="shared" si="17"/>
        <v>Sim</v>
      </c>
      <c r="T91">
        <v>20</v>
      </c>
      <c r="U91">
        <f t="shared" si="18"/>
        <v>20</v>
      </c>
      <c r="V91" t="s">
        <v>50</v>
      </c>
      <c r="W91">
        <v>52500</v>
      </c>
      <c r="X91">
        <f t="shared" si="19"/>
        <v>52500</v>
      </c>
      <c r="Y91" t="str">
        <f t="shared" si="20"/>
        <v>Médio</v>
      </c>
      <c r="Z91" t="str">
        <f>IF(AND(Y91="Alto",S91="Sim"),"Negada","Aprovada")</f>
        <v>Aprovada</v>
      </c>
      <c r="AA91" t="str">
        <f t="shared" si="21"/>
        <v>Negada</v>
      </c>
      <c r="AB91">
        <f>IF(AND(Z91="Negada",AA91="Negada"),"Já foi negado",IF(B91="Ativo",X91*8%,"Não liberado"))</f>
        <v>4200</v>
      </c>
    </row>
    <row r="92" spans="1:28">
      <c r="A92" t="s">
        <v>183</v>
      </c>
      <c r="B92" t="str">
        <f t="shared" si="13"/>
        <v>Ativo</v>
      </c>
      <c r="C92" t="str">
        <f t="shared" si="14"/>
        <v>Jon Hightower</v>
      </c>
      <c r="D92" s="15" t="s">
        <v>335</v>
      </c>
      <c r="E92" s="16" t="s">
        <v>336</v>
      </c>
      <c r="F92" s="16" t="str">
        <f t="shared" si="22"/>
        <v>000.000.081-00</v>
      </c>
      <c r="G92">
        <v>59</v>
      </c>
      <c r="H92">
        <f t="shared" ca="1" si="23"/>
        <v>59</v>
      </c>
      <c r="I92" s="12">
        <v>24362</v>
      </c>
      <c r="J92" t="s">
        <v>179</v>
      </c>
      <c r="K92" t="str">
        <f t="shared" si="15"/>
        <v>Winterfell</v>
      </c>
      <c r="L92" t="s">
        <v>151</v>
      </c>
      <c r="M92" t="str" cm="1">
        <f t="array" ref="M92">PROPER(IF(L92&lt;&gt;"",L92,_xlfn.XLOOKUP(1,($K$2:$K$398=K92)*($L$2:$L$398&lt;&gt;""),$L$2:$L$398,"")))</f>
        <v>Norte</v>
      </c>
      <c r="N92">
        <v>18900</v>
      </c>
      <c r="O92">
        <f t="shared" si="24"/>
        <v>18900</v>
      </c>
      <c r="P92">
        <v>1000</v>
      </c>
      <c r="Q92" s="17">
        <f t="shared" si="16"/>
        <v>1000</v>
      </c>
      <c r="R92" t="s">
        <v>191</v>
      </c>
      <c r="S92" t="str">
        <f t="shared" si="17"/>
        <v>Sim</v>
      </c>
      <c r="T92">
        <v>42</v>
      </c>
      <c r="U92">
        <f t="shared" si="18"/>
        <v>42</v>
      </c>
      <c r="V92" t="s">
        <v>191</v>
      </c>
      <c r="W92">
        <v>16500</v>
      </c>
      <c r="X92">
        <f t="shared" si="19"/>
        <v>16500</v>
      </c>
      <c r="Y92" t="str">
        <f t="shared" si="20"/>
        <v>Alto</v>
      </c>
      <c r="Z92" t="str">
        <f>IF(AND(Y92="Alto",S92="Sim"),"Negada","Aprovada")</f>
        <v>Negada</v>
      </c>
      <c r="AA92" t="str">
        <f t="shared" si="21"/>
        <v>Aprovada</v>
      </c>
      <c r="AB92">
        <f>IF(AND(Z92="Negada",AA92="Negada"),"Já foi negado",IF(B92="Ativo",X92*8%,"Não liberado"))</f>
        <v>1320</v>
      </c>
    </row>
    <row r="93" spans="1:28">
      <c r="A93" t="s">
        <v>93</v>
      </c>
      <c r="B93" t="str">
        <f t="shared" si="13"/>
        <v>Inativo</v>
      </c>
      <c r="C93" t="str">
        <f t="shared" si="14"/>
        <v>Renly Dayne</v>
      </c>
      <c r="D93" s="15" t="s">
        <v>337</v>
      </c>
      <c r="E93" s="16" t="s">
        <v>338</v>
      </c>
      <c r="F93" s="16" t="str">
        <f t="shared" si="22"/>
        <v>000.000.065-00</v>
      </c>
      <c r="H93">
        <f t="shared" ca="1" si="23"/>
        <v>72</v>
      </c>
      <c r="I93" s="12">
        <v>19672</v>
      </c>
      <c r="J93" t="s">
        <v>193</v>
      </c>
      <c r="K93" t="str">
        <f t="shared" si="15"/>
        <v>Dorne</v>
      </c>
      <c r="L93" t="s">
        <v>193</v>
      </c>
      <c r="M93" t="str" cm="1">
        <f t="array" ref="M93">PROPER(IF(L93&lt;&gt;"",L93,_xlfn.XLOOKUP(1,($K$2:$K$398=K93)*($L$2:$L$398&lt;&gt;""),$L$2:$L$398,"")))</f>
        <v>Dorne</v>
      </c>
      <c r="N93">
        <v>21000</v>
      </c>
      <c r="O93">
        <f t="shared" si="24"/>
        <v>21000</v>
      </c>
      <c r="P93">
        <v>0</v>
      </c>
      <c r="Q93" s="17">
        <f t="shared" si="16"/>
        <v>0</v>
      </c>
      <c r="R93" t="s">
        <v>200</v>
      </c>
      <c r="S93" t="str">
        <f t="shared" si="17"/>
        <v>Não</v>
      </c>
      <c r="T93">
        <v>11</v>
      </c>
      <c r="U93">
        <f t="shared" si="18"/>
        <v>11</v>
      </c>
      <c r="V93" t="s">
        <v>200</v>
      </c>
      <c r="W93">
        <v>75500</v>
      </c>
      <c r="X93">
        <f t="shared" si="19"/>
        <v>75500</v>
      </c>
      <c r="Y93" t="str">
        <f t="shared" si="20"/>
        <v>Médio</v>
      </c>
      <c r="Z93" t="str">
        <f>IF(AND(Y93="Alto",S93="Sim"),"Negada","Aprovada")</f>
        <v>Aprovada</v>
      </c>
      <c r="AA93" t="str">
        <f t="shared" si="21"/>
        <v>Aprovada</v>
      </c>
      <c r="AB93" t="str">
        <f>IF(AND(Z93="Negada",AA93="Negada"),"Já foi negado",IF(B93="Ativo",X93*8%,"Não liberado"))</f>
        <v>Não liberado</v>
      </c>
    </row>
    <row r="94" spans="1:28">
      <c r="A94" t="s">
        <v>88</v>
      </c>
      <c r="B94" t="str">
        <f t="shared" si="13"/>
        <v>Ativo</v>
      </c>
      <c r="C94" t="str">
        <f t="shared" si="14"/>
        <v>Missandei Karstark</v>
      </c>
      <c r="D94" s="15" t="s">
        <v>339</v>
      </c>
      <c r="E94" s="16" t="s">
        <v>340</v>
      </c>
      <c r="F94" s="16" t="str">
        <f t="shared" si="22"/>
        <v>000.000.044-00</v>
      </c>
      <c r="G94">
        <v>42</v>
      </c>
      <c r="H94">
        <f t="shared" ca="1" si="23"/>
        <v>42</v>
      </c>
      <c r="I94" s="12">
        <v>30666</v>
      </c>
      <c r="J94" t="s">
        <v>100</v>
      </c>
      <c r="K94" t="str">
        <f t="shared" si="15"/>
        <v>Pedra do Dragão</v>
      </c>
      <c r="L94" t="s">
        <v>341</v>
      </c>
      <c r="M94" t="str" cm="1">
        <f t="array" ref="M94">PROPER(IF(L94&lt;&gt;"",L94,_xlfn.XLOOKUP(1,($K$2:$K$398=K94)*($L$2:$L$398&lt;&gt;""),$L$2:$L$398,"")))</f>
        <v>Terras Da Coroa</v>
      </c>
      <c r="N94">
        <v>6000</v>
      </c>
      <c r="O94">
        <f t="shared" si="24"/>
        <v>6000</v>
      </c>
      <c r="P94" s="13">
        <v>55000</v>
      </c>
      <c r="Q94" s="17">
        <f t="shared" si="16"/>
        <v>55000</v>
      </c>
      <c r="R94" t="s">
        <v>49</v>
      </c>
      <c r="S94" t="str">
        <f t="shared" si="17"/>
        <v>Não</v>
      </c>
      <c r="T94">
        <v>5</v>
      </c>
      <c r="U94">
        <f t="shared" si="18"/>
        <v>5</v>
      </c>
      <c r="V94" t="s">
        <v>49</v>
      </c>
      <c r="W94">
        <v>10000</v>
      </c>
      <c r="X94">
        <f t="shared" si="19"/>
        <v>10000</v>
      </c>
      <c r="Y94" t="str">
        <f t="shared" si="20"/>
        <v>Baixo</v>
      </c>
      <c r="Z94" t="str">
        <f>IF(AND(Y94="Alto",S94="Sim"),"Negada","Aprovada")</f>
        <v>Aprovada</v>
      </c>
      <c r="AA94" t="str">
        <f t="shared" si="21"/>
        <v>Aprovada</v>
      </c>
      <c r="AB94">
        <f>IF(AND(Z94="Negada",AA94="Negada"),"Já foi negado",IF(B94="Ativo",X94*8%,"Não liberado"))</f>
        <v>800</v>
      </c>
    </row>
    <row r="95" spans="1:28">
      <c r="A95" t="s">
        <v>88</v>
      </c>
      <c r="B95" t="str">
        <f t="shared" si="13"/>
        <v>Ativo</v>
      </c>
      <c r="C95" t="str">
        <f t="shared" si="14"/>
        <v>Catelyn Cerwyn</v>
      </c>
      <c r="D95" s="15" t="s">
        <v>342</v>
      </c>
      <c r="E95" s="16" t="s">
        <v>343</v>
      </c>
      <c r="F95" s="16" t="str">
        <f t="shared" si="22"/>
        <v>000.000.308-00</v>
      </c>
      <c r="G95">
        <v>60</v>
      </c>
      <c r="H95">
        <f t="shared" ca="1" si="23"/>
        <v>60</v>
      </c>
      <c r="I95" s="12">
        <v>24082</v>
      </c>
      <c r="J95" t="s">
        <v>254</v>
      </c>
      <c r="K95" t="str">
        <f t="shared" si="15"/>
        <v>Atalaia da �gua Cinzenta</v>
      </c>
      <c r="L95" t="s">
        <v>255</v>
      </c>
      <c r="M95" t="str" cm="1">
        <f t="array" ref="M95">PROPER(IF(L95&lt;&gt;"",L95,_xlfn.XLOOKUP(1,($K$2:$K$398=K95)*($L$2:$L$398&lt;&gt;""),$L$2:$L$398,"")))</f>
        <v>Gargalo</v>
      </c>
      <c r="N95" s="14">
        <v>13800</v>
      </c>
      <c r="O95">
        <f t="shared" si="24"/>
        <v>13800</v>
      </c>
      <c r="P95">
        <v>45500</v>
      </c>
      <c r="Q95" s="17">
        <f t="shared" si="16"/>
        <v>45500</v>
      </c>
      <c r="R95" t="s">
        <v>49</v>
      </c>
      <c r="S95" t="str">
        <f t="shared" si="17"/>
        <v>Não</v>
      </c>
      <c r="T95">
        <v>30</v>
      </c>
      <c r="U95">
        <f t="shared" si="18"/>
        <v>30</v>
      </c>
      <c r="V95" t="s">
        <v>49</v>
      </c>
      <c r="W95">
        <v>17500</v>
      </c>
      <c r="X95">
        <f t="shared" si="19"/>
        <v>17500</v>
      </c>
      <c r="Y95" t="str">
        <f t="shared" si="20"/>
        <v>Alto</v>
      </c>
      <c r="Z95" t="str">
        <f>IF(AND(Y95="Alto",S95="Sim"),"Negada","Aprovada")</f>
        <v>Aprovada</v>
      </c>
      <c r="AA95" t="str">
        <f t="shared" si="21"/>
        <v>Aprovada</v>
      </c>
      <c r="AB95">
        <f>IF(AND(Z95="Negada",AA95="Negada"),"Já foi negado",IF(B95="Ativo",X95*8%,"Não liberado"))</f>
        <v>1400</v>
      </c>
    </row>
    <row r="96" spans="1:28">
      <c r="A96" t="s">
        <v>88</v>
      </c>
      <c r="B96" t="str">
        <f t="shared" si="13"/>
        <v>Ativo</v>
      </c>
      <c r="C96" t="str">
        <f t="shared" si="14"/>
        <v>Margaery Dayne</v>
      </c>
      <c r="D96" s="15" t="s">
        <v>344</v>
      </c>
      <c r="E96" s="16" t="s">
        <v>345</v>
      </c>
      <c r="F96" s="16" t="str">
        <f t="shared" si="22"/>
        <v>000.000.276-00</v>
      </c>
      <c r="G96">
        <v>36</v>
      </c>
      <c r="H96">
        <f t="shared" ca="1" si="23"/>
        <v>36</v>
      </c>
      <c r="I96" s="12">
        <v>32791</v>
      </c>
      <c r="J96" t="s">
        <v>182</v>
      </c>
      <c r="K96" t="str">
        <f t="shared" si="15"/>
        <v>Jardim de Cima</v>
      </c>
      <c r="L96" t="s">
        <v>222</v>
      </c>
      <c r="M96" t="str" cm="1">
        <f t="array" ref="M96">PROPER(IF(L96&lt;&gt;"",L96,_xlfn.XLOOKUP(1,($K$2:$K$398=K96)*($L$2:$L$398&lt;&gt;""),$L$2:$L$398,"")))</f>
        <v>Campina</v>
      </c>
      <c r="N96">
        <v>23900</v>
      </c>
      <c r="O96">
        <f t="shared" si="24"/>
        <v>23900</v>
      </c>
      <c r="P96">
        <v>58000</v>
      </c>
      <c r="Q96" s="17">
        <f t="shared" si="16"/>
        <v>58000</v>
      </c>
      <c r="R96" t="s">
        <v>49</v>
      </c>
      <c r="S96" t="str">
        <f t="shared" si="17"/>
        <v>Não</v>
      </c>
      <c r="T96">
        <v>27</v>
      </c>
      <c r="U96">
        <f t="shared" si="18"/>
        <v>27</v>
      </c>
      <c r="V96" t="s">
        <v>49</v>
      </c>
      <c r="W96">
        <v>38000</v>
      </c>
      <c r="X96">
        <f t="shared" si="19"/>
        <v>38000</v>
      </c>
      <c r="Y96" t="str">
        <f t="shared" si="20"/>
        <v>Alto</v>
      </c>
      <c r="Z96" t="str">
        <f>IF(AND(Y96="Alto",S96="Sim"),"Negada","Aprovada")</f>
        <v>Aprovada</v>
      </c>
      <c r="AA96" t="str">
        <f t="shared" si="21"/>
        <v>Aprovada</v>
      </c>
      <c r="AB96">
        <f>IF(AND(Z96="Negada",AA96="Negada"),"Já foi negado",IF(B96="Ativo",X96*8%,"Não liberado"))</f>
        <v>3040</v>
      </c>
    </row>
    <row r="97" spans="1:28">
      <c r="A97" t="s">
        <v>88</v>
      </c>
      <c r="B97" t="str">
        <f t="shared" si="13"/>
        <v>Ativo</v>
      </c>
      <c r="C97" t="str">
        <f t="shared" si="14"/>
        <v>Rickon Karstark</v>
      </c>
      <c r="D97" s="15" t="s">
        <v>346</v>
      </c>
      <c r="E97" s="16" t="s">
        <v>347</v>
      </c>
      <c r="F97" s="16" t="str">
        <f t="shared" si="22"/>
        <v>000.000.088-00</v>
      </c>
      <c r="G97">
        <v>74</v>
      </c>
      <c r="H97">
        <f t="shared" ca="1" si="23"/>
        <v>74</v>
      </c>
      <c r="I97" s="12">
        <v>19121</v>
      </c>
      <c r="J97" t="s">
        <v>150</v>
      </c>
      <c r="K97" t="str">
        <f t="shared" si="15"/>
        <v>Castelo Negro</v>
      </c>
      <c r="L97" t="s">
        <v>151</v>
      </c>
      <c r="M97" t="str" cm="1">
        <f t="array" ref="M97">PROPER(IF(L97&lt;&gt;"",L97,_xlfn.XLOOKUP(1,($K$2:$K$398=K97)*($L$2:$L$398&lt;&gt;""),$L$2:$L$398,"")))</f>
        <v>Norte</v>
      </c>
      <c r="N97">
        <v>7300</v>
      </c>
      <c r="O97">
        <f t="shared" si="24"/>
        <v>7300</v>
      </c>
      <c r="P97">
        <v>1000</v>
      </c>
      <c r="Q97" s="17">
        <f t="shared" si="16"/>
        <v>1000</v>
      </c>
      <c r="R97" t="s">
        <v>49</v>
      </c>
      <c r="S97" t="str">
        <f t="shared" si="17"/>
        <v>Não</v>
      </c>
      <c r="T97">
        <v>3</v>
      </c>
      <c r="U97">
        <f t="shared" si="18"/>
        <v>3</v>
      </c>
      <c r="V97" t="s">
        <v>49</v>
      </c>
      <c r="W97">
        <v>50500</v>
      </c>
      <c r="X97">
        <f t="shared" si="19"/>
        <v>50500</v>
      </c>
      <c r="Y97" t="str">
        <f t="shared" si="20"/>
        <v>Baixo</v>
      </c>
      <c r="Z97" t="str">
        <f>IF(AND(Y97="Alto",S97="Sim"),"Negada","Aprovada")</f>
        <v>Aprovada</v>
      </c>
      <c r="AA97" t="str">
        <f t="shared" si="21"/>
        <v>Aprovada</v>
      </c>
      <c r="AB97">
        <f>IF(AND(Z97="Negada",AA97="Negada"),"Já foi negado",IF(B97="Ativo",X97*8%,"Não liberado"))</f>
        <v>4040</v>
      </c>
    </row>
    <row r="98" spans="1:28">
      <c r="A98" t="s">
        <v>183</v>
      </c>
      <c r="B98" t="str">
        <f t="shared" si="13"/>
        <v>Ativo</v>
      </c>
      <c r="C98" t="str">
        <f t="shared" si="14"/>
        <v>Jorah Seaworth</v>
      </c>
      <c r="D98" s="15" t="s">
        <v>348</v>
      </c>
      <c r="E98" s="16">
        <v>20700</v>
      </c>
      <c r="F98" s="16" t="str">
        <f t="shared" si="22"/>
        <v>000.000.207-00</v>
      </c>
      <c r="G98">
        <v>66</v>
      </c>
      <c r="H98">
        <f t="shared" ca="1" si="23"/>
        <v>66</v>
      </c>
      <c r="I98" s="12">
        <v>22151</v>
      </c>
      <c r="J98" t="s">
        <v>224</v>
      </c>
      <c r="K98" t="str">
        <f t="shared" si="15"/>
        <v>Fosso Cailin</v>
      </c>
      <c r="M98" t="str" cm="1">
        <f t="array" ref="M98">PROPER(IF(L98&lt;&gt;"",L98,_xlfn.XLOOKUP(1,($K$2:$K$398=K98)*($L$2:$L$398&lt;&gt;""),$L$2:$L$398,"")))</f>
        <v>Norte</v>
      </c>
      <c r="N98" t="s">
        <v>349</v>
      </c>
      <c r="O98">
        <f t="shared" si="24"/>
        <v>28800</v>
      </c>
      <c r="P98">
        <v>16000</v>
      </c>
      <c r="Q98" s="17">
        <f t="shared" si="16"/>
        <v>16000</v>
      </c>
      <c r="R98" t="s">
        <v>50</v>
      </c>
      <c r="S98" t="str">
        <f t="shared" si="17"/>
        <v>Sim</v>
      </c>
      <c r="T98">
        <v>44</v>
      </c>
      <c r="U98">
        <f t="shared" si="18"/>
        <v>44</v>
      </c>
      <c r="V98" t="s">
        <v>50</v>
      </c>
      <c r="W98">
        <v>59000</v>
      </c>
      <c r="X98">
        <f t="shared" si="19"/>
        <v>59000</v>
      </c>
      <c r="Y98" t="str">
        <f t="shared" si="20"/>
        <v>Alto</v>
      </c>
      <c r="Z98" t="str">
        <f>IF(AND(Y98="Alto",S98="Sim"),"Negada","Aprovada")</f>
        <v>Negada</v>
      </c>
      <c r="AA98" t="str">
        <f t="shared" si="21"/>
        <v>Aprovada</v>
      </c>
      <c r="AB98">
        <f>IF(AND(Z98="Negada",AA98="Negada"),"Já foi negado",IF(B98="Ativo",X98*8%,"Não liberado"))</f>
        <v>4720</v>
      </c>
    </row>
    <row r="99" spans="1:28">
      <c r="A99" t="s">
        <v>88</v>
      </c>
      <c r="B99" t="str">
        <f t="shared" si="13"/>
        <v>Ativo</v>
      </c>
      <c r="C99" t="str">
        <f t="shared" si="14"/>
        <v>Stannis Redwyne</v>
      </c>
      <c r="D99" s="15" t="s">
        <v>350</v>
      </c>
      <c r="E99" s="16" t="s">
        <v>351</v>
      </c>
      <c r="F99" s="16" t="str">
        <f t="shared" si="22"/>
        <v>000.000.216-00</v>
      </c>
      <c r="G99">
        <v>34</v>
      </c>
      <c r="H99">
        <f t="shared" ca="1" si="23"/>
        <v>34</v>
      </c>
      <c r="I99" s="12">
        <v>33835</v>
      </c>
      <c r="J99" t="s">
        <v>352</v>
      </c>
      <c r="K99" t="str">
        <f t="shared" si="15"/>
        <v>Jardim de Cima</v>
      </c>
      <c r="M99" t="str" cm="1">
        <f t="array" ref="M99">PROPER(IF(L99&lt;&gt;"",L99,_xlfn.XLOOKUP(1,($K$2:$K$398=K99)*($L$2:$L$398&lt;&gt;""),$L$2:$L$398,"")))</f>
        <v>Campina</v>
      </c>
      <c r="N99">
        <v>5100</v>
      </c>
      <c r="O99">
        <f t="shared" si="24"/>
        <v>5100</v>
      </c>
      <c r="P99">
        <v>17000</v>
      </c>
      <c r="Q99" s="17">
        <f t="shared" si="16"/>
        <v>17000</v>
      </c>
      <c r="R99" t="s">
        <v>49</v>
      </c>
      <c r="S99" t="str">
        <f t="shared" si="17"/>
        <v>Não</v>
      </c>
      <c r="T99" t="s">
        <v>353</v>
      </c>
      <c r="U99">
        <f t="shared" si="18"/>
        <v>3</v>
      </c>
      <c r="V99" t="s">
        <v>49</v>
      </c>
      <c r="W99">
        <v>4500</v>
      </c>
      <c r="X99">
        <f t="shared" si="19"/>
        <v>4500</v>
      </c>
      <c r="Y99" t="str">
        <f t="shared" si="20"/>
        <v>Baixo</v>
      </c>
      <c r="Z99" t="str">
        <f>IF(AND(Y99="Alto",S99="Sim"),"Negada","Aprovada")</f>
        <v>Aprovada</v>
      </c>
      <c r="AA99" t="str">
        <f t="shared" si="21"/>
        <v>Aprovada</v>
      </c>
      <c r="AB99">
        <f>IF(AND(Z99="Negada",AA99="Negada"),"Já foi negado",IF(B99="Ativo",X99*8%,"Não liberado"))</f>
        <v>360</v>
      </c>
    </row>
    <row r="100" spans="1:28">
      <c r="A100" t="s">
        <v>88</v>
      </c>
      <c r="B100" t="str">
        <f t="shared" si="13"/>
        <v>Ativo</v>
      </c>
      <c r="C100" t="str">
        <f t="shared" si="14"/>
        <v>Yara Royce</v>
      </c>
      <c r="D100" s="15" t="s">
        <v>320</v>
      </c>
      <c r="E100" s="16" t="s">
        <v>354</v>
      </c>
      <c r="F100" s="16" t="str">
        <f t="shared" si="22"/>
        <v>000.000.277-00</v>
      </c>
      <c r="G100">
        <v>65</v>
      </c>
      <c r="H100">
        <f t="shared" ca="1" si="23"/>
        <v>65</v>
      </c>
      <c r="I100" s="12">
        <v>22436</v>
      </c>
      <c r="J100" t="s">
        <v>91</v>
      </c>
      <c r="K100" t="str">
        <f t="shared" si="15"/>
        <v>Ninho da Águia</v>
      </c>
      <c r="L100" t="s">
        <v>110</v>
      </c>
      <c r="M100" t="str" cm="1">
        <f t="array" ref="M100">PROPER(IF(L100&lt;&gt;"",L100,_xlfn.XLOOKUP(1,($K$2:$K$398=K100)*($L$2:$L$398&lt;&gt;""),$L$2:$L$398,"")))</f>
        <v>Vale</v>
      </c>
      <c r="N100">
        <v>12700</v>
      </c>
      <c r="O100">
        <f t="shared" si="24"/>
        <v>12700</v>
      </c>
      <c r="P100" s="13">
        <v>60500</v>
      </c>
      <c r="Q100" s="17">
        <f t="shared" si="16"/>
        <v>60500</v>
      </c>
      <c r="R100" t="s">
        <v>49</v>
      </c>
      <c r="S100" t="str">
        <f t="shared" si="17"/>
        <v>Não</v>
      </c>
      <c r="T100">
        <v>36</v>
      </c>
      <c r="U100">
        <f t="shared" si="18"/>
        <v>36</v>
      </c>
      <c r="V100" t="s">
        <v>49</v>
      </c>
      <c r="W100">
        <v>28000</v>
      </c>
      <c r="X100">
        <f t="shared" si="19"/>
        <v>28000</v>
      </c>
      <c r="Y100" t="str">
        <f t="shared" si="20"/>
        <v>Alto</v>
      </c>
      <c r="Z100" t="str">
        <f>IF(AND(Y100="Alto",S100="Sim"),"Negada","Aprovada")</f>
        <v>Aprovada</v>
      </c>
      <c r="AA100" t="str">
        <f t="shared" si="21"/>
        <v>Aprovada</v>
      </c>
      <c r="AB100">
        <f>IF(AND(Z100="Negada",AA100="Negada"),"Já foi negado",IF(B100="Ativo",X100*8%,"Não liberado"))</f>
        <v>2240</v>
      </c>
    </row>
    <row r="101" spans="1:28">
      <c r="A101" t="s">
        <v>93</v>
      </c>
      <c r="B101" t="str">
        <f t="shared" si="13"/>
        <v>Inativo</v>
      </c>
      <c r="C101" t="str">
        <f t="shared" si="14"/>
        <v>Loras Baelish</v>
      </c>
      <c r="D101" s="15" t="s">
        <v>355</v>
      </c>
      <c r="E101" s="16" t="s">
        <v>356</v>
      </c>
      <c r="F101" s="16" t="str">
        <f t="shared" si="22"/>
        <v>000.000.217-00</v>
      </c>
      <c r="G101">
        <v>68</v>
      </c>
      <c r="H101">
        <f t="shared" ca="1" si="23"/>
        <v>68</v>
      </c>
      <c r="I101" s="12">
        <v>21205</v>
      </c>
      <c r="J101" t="s">
        <v>182</v>
      </c>
      <c r="K101" t="str">
        <f t="shared" si="15"/>
        <v>Jardim de Cima</v>
      </c>
      <c r="L101" t="s">
        <v>158</v>
      </c>
      <c r="M101" t="str" cm="1">
        <f t="array" ref="M101">PROPER(IF(L101&lt;&gt;"",L101,_xlfn.XLOOKUP(1,($K$2:$K$398=K101)*($L$2:$L$398&lt;&gt;""),$L$2:$L$398,"")))</f>
        <v>Campina</v>
      </c>
      <c r="N101">
        <v>8200</v>
      </c>
      <c r="O101">
        <f t="shared" si="24"/>
        <v>8200</v>
      </c>
      <c r="P101" s="13">
        <v>66000</v>
      </c>
      <c r="Q101" s="17">
        <f t="shared" si="16"/>
        <v>66000</v>
      </c>
      <c r="R101" t="s">
        <v>49</v>
      </c>
      <c r="S101" t="str">
        <f t="shared" si="17"/>
        <v>Não</v>
      </c>
      <c r="T101">
        <v>16</v>
      </c>
      <c r="U101">
        <f t="shared" si="18"/>
        <v>16</v>
      </c>
      <c r="V101" t="s">
        <v>49</v>
      </c>
      <c r="W101">
        <v>84000</v>
      </c>
      <c r="X101">
        <f t="shared" si="19"/>
        <v>84000</v>
      </c>
      <c r="Y101" t="str">
        <f t="shared" si="20"/>
        <v>Médio</v>
      </c>
      <c r="Z101" t="str">
        <f>IF(AND(Y101="Alto",S101="Sim"),"Negada","Aprovada")</f>
        <v>Aprovada</v>
      </c>
      <c r="AA101" t="str">
        <f t="shared" si="21"/>
        <v>Aprovada</v>
      </c>
      <c r="AB101" t="str">
        <f>IF(AND(Z101="Negada",AA101="Negada"),"Já foi negado",IF(B101="Ativo",X101*8%,"Não liberado"))</f>
        <v>Não liberado</v>
      </c>
    </row>
    <row r="102" spans="1:28">
      <c r="A102" t="s">
        <v>93</v>
      </c>
      <c r="B102" t="str">
        <f t="shared" si="13"/>
        <v>Inativo</v>
      </c>
      <c r="C102" t="str">
        <f t="shared" si="14"/>
        <v>Viserys Florent</v>
      </c>
      <c r="D102" s="15" t="s">
        <v>357</v>
      </c>
      <c r="E102" s="16" t="s">
        <v>358</v>
      </c>
      <c r="F102" s="16" t="str">
        <f t="shared" si="22"/>
        <v>000.000.129-00</v>
      </c>
      <c r="G102">
        <v>59</v>
      </c>
      <c r="H102">
        <f t="shared" ca="1" si="23"/>
        <v>59</v>
      </c>
      <c r="I102" s="12">
        <v>24554</v>
      </c>
      <c r="J102" t="s">
        <v>130</v>
      </c>
      <c r="K102" t="str">
        <f t="shared" si="15"/>
        <v>Meereen</v>
      </c>
      <c r="L102" t="s">
        <v>131</v>
      </c>
      <c r="M102" t="str" cm="1">
        <f t="array" ref="M102">PROPER(IF(L102&lt;&gt;"",L102,_xlfn.XLOOKUP(1,($K$2:$K$398=K102)*($L$2:$L$398&lt;&gt;""),$L$2:$L$398,"")))</f>
        <v>Essos</v>
      </c>
      <c r="N102" s="13">
        <v>15200</v>
      </c>
      <c r="O102">
        <f t="shared" si="24"/>
        <v>15200</v>
      </c>
      <c r="P102">
        <v>11000</v>
      </c>
      <c r="Q102" s="17">
        <f t="shared" si="16"/>
        <v>11000</v>
      </c>
      <c r="R102" t="s">
        <v>49</v>
      </c>
      <c r="S102" t="str">
        <f t="shared" si="17"/>
        <v>Não</v>
      </c>
      <c r="T102">
        <v>27</v>
      </c>
      <c r="U102">
        <f t="shared" si="18"/>
        <v>27</v>
      </c>
      <c r="V102" t="s">
        <v>49</v>
      </c>
      <c r="W102">
        <v>87000</v>
      </c>
      <c r="X102">
        <f t="shared" si="19"/>
        <v>87000</v>
      </c>
      <c r="Y102" t="str">
        <f t="shared" si="20"/>
        <v>Alto</v>
      </c>
      <c r="Z102" t="str">
        <f>IF(AND(Y102="Alto",S102="Sim"),"Negada","Aprovada")</f>
        <v>Aprovada</v>
      </c>
      <c r="AA102" t="str">
        <f t="shared" si="21"/>
        <v>Aprovada</v>
      </c>
      <c r="AB102" t="str">
        <f>IF(AND(Z102="Negada",AA102="Negada"),"Já foi negado",IF(B102="Ativo",X102*8%,"Não liberado"))</f>
        <v>Não liberado</v>
      </c>
    </row>
    <row r="103" spans="1:28">
      <c r="A103" t="s">
        <v>88</v>
      </c>
      <c r="B103" t="str">
        <f t="shared" si="13"/>
        <v>Ativo</v>
      </c>
      <c r="C103" t="str">
        <f t="shared" si="14"/>
        <v>Jon Marbrand</v>
      </c>
      <c r="D103" s="15" t="s">
        <v>359</v>
      </c>
      <c r="E103" s="16" t="s">
        <v>360</v>
      </c>
      <c r="F103" s="16" t="str">
        <f t="shared" si="22"/>
        <v>000.000.359-00</v>
      </c>
      <c r="G103">
        <v>29</v>
      </c>
      <c r="H103">
        <f t="shared" ca="1" si="23"/>
        <v>29</v>
      </c>
      <c r="I103" s="12">
        <v>35600</v>
      </c>
      <c r="J103" t="s">
        <v>234</v>
      </c>
      <c r="K103" t="str">
        <f t="shared" si="15"/>
        <v>Porto Real</v>
      </c>
      <c r="L103" t="s">
        <v>341</v>
      </c>
      <c r="M103" t="str" cm="1">
        <f t="array" ref="M103">PROPER(IF(L103&lt;&gt;"",L103,_xlfn.XLOOKUP(1,($K$2:$K$398=K103)*($L$2:$L$398&lt;&gt;""),$L$2:$L$398,"")))</f>
        <v>Terras Da Coroa</v>
      </c>
      <c r="N103">
        <v>10000</v>
      </c>
      <c r="O103">
        <f t="shared" si="24"/>
        <v>10000</v>
      </c>
      <c r="P103">
        <v>25500</v>
      </c>
      <c r="Q103" s="17">
        <f t="shared" si="16"/>
        <v>25500</v>
      </c>
      <c r="R103" t="s">
        <v>49</v>
      </c>
      <c r="S103" t="str">
        <f t="shared" si="17"/>
        <v>Não</v>
      </c>
      <c r="T103">
        <v>15</v>
      </c>
      <c r="U103">
        <f t="shared" si="18"/>
        <v>15</v>
      </c>
      <c r="V103" t="s">
        <v>49</v>
      </c>
      <c r="W103">
        <v>66000</v>
      </c>
      <c r="X103">
        <f t="shared" si="19"/>
        <v>66000</v>
      </c>
      <c r="Y103" t="str">
        <f t="shared" si="20"/>
        <v>Médio</v>
      </c>
      <c r="Z103" t="str">
        <f>IF(AND(Y103="Alto",S103="Sim"),"Negada","Aprovada")</f>
        <v>Aprovada</v>
      </c>
      <c r="AA103" t="str">
        <f t="shared" si="21"/>
        <v>Aprovada</v>
      </c>
      <c r="AB103">
        <f>IF(AND(Z103="Negada",AA103="Negada"),"Já foi negado",IF(B103="Ativo",X103*8%,"Não liberado"))</f>
        <v>5280</v>
      </c>
    </row>
    <row r="104" spans="1:28">
      <c r="A104" t="s">
        <v>88</v>
      </c>
      <c r="B104" t="str">
        <f t="shared" si="13"/>
        <v>Ativo</v>
      </c>
      <c r="C104" t="str">
        <f t="shared" si="14"/>
        <v>Aegon Bracken</v>
      </c>
      <c r="D104" s="15" t="s">
        <v>361</v>
      </c>
      <c r="E104" s="16" t="s">
        <v>362</v>
      </c>
      <c r="F104" s="16" t="str">
        <f t="shared" si="22"/>
        <v>000.000.244-00</v>
      </c>
      <c r="G104">
        <v>69</v>
      </c>
      <c r="H104">
        <f t="shared" ca="1" si="23"/>
        <v>69</v>
      </c>
      <c r="I104" s="12">
        <v>20725</v>
      </c>
      <c r="J104" t="s">
        <v>147</v>
      </c>
      <c r="K104" t="str">
        <f t="shared" si="15"/>
        <v>Correrrio</v>
      </c>
      <c r="L104" t="s">
        <v>363</v>
      </c>
      <c r="M104" t="str" cm="1">
        <f t="array" ref="M104">PROPER(IF(L104&lt;&gt;"",L104,_xlfn.XLOOKUP(1,($K$2:$K$398=K104)*($L$2:$L$398&lt;&gt;""),$L$2:$L$398,"")))</f>
        <v>Terras Fluviais</v>
      </c>
      <c r="N104">
        <v>8100</v>
      </c>
      <c r="O104">
        <f t="shared" si="24"/>
        <v>8100</v>
      </c>
      <c r="P104">
        <v>27500</v>
      </c>
      <c r="Q104" s="17">
        <f t="shared" si="16"/>
        <v>27500</v>
      </c>
      <c r="R104" t="s">
        <v>49</v>
      </c>
      <c r="S104" t="str">
        <f t="shared" si="17"/>
        <v>Não</v>
      </c>
      <c r="T104">
        <v>42</v>
      </c>
      <c r="U104">
        <f t="shared" si="18"/>
        <v>42</v>
      </c>
      <c r="V104" t="s">
        <v>49</v>
      </c>
      <c r="W104">
        <v>72500</v>
      </c>
      <c r="X104">
        <f t="shared" si="19"/>
        <v>72500</v>
      </c>
      <c r="Y104" t="str">
        <f t="shared" si="20"/>
        <v>Alto</v>
      </c>
      <c r="Z104" t="str">
        <f>IF(AND(Y104="Alto",S104="Sim"),"Negada","Aprovada")</f>
        <v>Aprovada</v>
      </c>
      <c r="AA104" t="str">
        <f t="shared" si="21"/>
        <v>Aprovada</v>
      </c>
      <c r="AB104">
        <f>IF(AND(Z104="Negada",AA104="Negada"),"Já foi negado",IF(B104="Ativo",X104*8%,"Não liberado"))</f>
        <v>5800</v>
      </c>
    </row>
    <row r="105" spans="1:28">
      <c r="A105" t="s">
        <v>88</v>
      </c>
      <c r="B105" t="str">
        <f t="shared" si="13"/>
        <v>Ativo</v>
      </c>
      <c r="C105" t="str">
        <f t="shared" si="14"/>
        <v>Daenerys Tallhart</v>
      </c>
      <c r="D105" s="15" t="s">
        <v>299</v>
      </c>
      <c r="E105" s="16" t="s">
        <v>300</v>
      </c>
      <c r="F105" s="16" t="str">
        <f t="shared" si="22"/>
        <v>000.000.092-00</v>
      </c>
      <c r="G105">
        <v>37</v>
      </c>
      <c r="H105">
        <f t="shared" ca="1" si="23"/>
        <v>37</v>
      </c>
      <c r="I105" s="12">
        <v>32543</v>
      </c>
      <c r="J105" t="s">
        <v>157</v>
      </c>
      <c r="K105" t="str">
        <f t="shared" si="15"/>
        <v>Vilavelha</v>
      </c>
      <c r="L105" t="s">
        <v>158</v>
      </c>
      <c r="M105" t="str" cm="1">
        <f t="array" ref="M105">PROPER(IF(L105&lt;&gt;"",L105,_xlfn.XLOOKUP(1,($K$2:$K$398=K105)*($L$2:$L$398&lt;&gt;""),$L$2:$L$398,"")))</f>
        <v>Campina</v>
      </c>
      <c r="N105">
        <v>29200</v>
      </c>
      <c r="O105">
        <f t="shared" si="24"/>
        <v>29200</v>
      </c>
      <c r="P105" s="13">
        <v>45000</v>
      </c>
      <c r="Q105" s="17">
        <f t="shared" si="16"/>
        <v>45000</v>
      </c>
      <c r="R105" t="s">
        <v>49</v>
      </c>
      <c r="S105" t="str">
        <f t="shared" si="17"/>
        <v>Não</v>
      </c>
      <c r="T105">
        <v>26</v>
      </c>
      <c r="U105">
        <f t="shared" si="18"/>
        <v>26</v>
      </c>
      <c r="V105" t="s">
        <v>49</v>
      </c>
      <c r="W105">
        <v>78000</v>
      </c>
      <c r="X105">
        <f t="shared" si="19"/>
        <v>78000</v>
      </c>
      <c r="Y105" t="str">
        <f t="shared" si="20"/>
        <v>Alto</v>
      </c>
      <c r="Z105" t="str">
        <f>IF(AND(Y105="Alto",S105="Sim"),"Negada","Aprovada")</f>
        <v>Aprovada</v>
      </c>
      <c r="AA105" t="str">
        <f t="shared" si="21"/>
        <v>Aprovada</v>
      </c>
      <c r="AB105">
        <f>IF(AND(Z105="Negada",AA105="Negada"),"Já foi negado",IF(B105="Ativo",X105*8%,"Não liberado"))</f>
        <v>6240</v>
      </c>
    </row>
    <row r="106" spans="1:28">
      <c r="A106" t="s">
        <v>93</v>
      </c>
      <c r="B106" t="str">
        <f t="shared" si="13"/>
        <v>Inativo</v>
      </c>
      <c r="C106" t="str">
        <f t="shared" si="14"/>
        <v>Loras Payne</v>
      </c>
      <c r="D106" s="15" t="s">
        <v>364</v>
      </c>
      <c r="E106" s="16" t="s">
        <v>365</v>
      </c>
      <c r="F106" s="16" t="str">
        <f t="shared" si="22"/>
        <v>000.000.027-00</v>
      </c>
      <c r="G106">
        <v>30</v>
      </c>
      <c r="H106">
        <f t="shared" ca="1" si="23"/>
        <v>30</v>
      </c>
      <c r="I106" s="12">
        <v>35200</v>
      </c>
      <c r="J106" t="s">
        <v>136</v>
      </c>
      <c r="K106" t="str">
        <f t="shared" si="15"/>
        <v>Braavos</v>
      </c>
      <c r="L106" t="s">
        <v>267</v>
      </c>
      <c r="M106" t="str" cm="1">
        <f t="array" ref="M106">PROPER(IF(L106&lt;&gt;"",L106,_xlfn.XLOOKUP(1,($K$2:$K$398=K106)*($L$2:$L$398&lt;&gt;""),$L$2:$L$398,"")))</f>
        <v>Essos</v>
      </c>
      <c r="N106">
        <v>26500</v>
      </c>
      <c r="O106">
        <f t="shared" si="24"/>
        <v>26500</v>
      </c>
      <c r="P106">
        <v>14500</v>
      </c>
      <c r="Q106" s="17">
        <f t="shared" si="16"/>
        <v>14500</v>
      </c>
      <c r="R106">
        <v>0</v>
      </c>
      <c r="S106" t="str">
        <f t="shared" si="17"/>
        <v>Não</v>
      </c>
      <c r="T106">
        <v>15</v>
      </c>
      <c r="U106">
        <f t="shared" si="18"/>
        <v>15</v>
      </c>
      <c r="V106">
        <v>0</v>
      </c>
      <c r="W106">
        <v>65500</v>
      </c>
      <c r="X106">
        <f t="shared" si="19"/>
        <v>65500</v>
      </c>
      <c r="Y106" t="str">
        <f t="shared" si="20"/>
        <v>Médio</v>
      </c>
      <c r="Z106" t="str">
        <f>IF(AND(Y106="Alto",S106="Sim"),"Negada","Aprovada")</f>
        <v>Aprovada</v>
      </c>
      <c r="AA106" t="str">
        <f t="shared" si="21"/>
        <v>Aprovada</v>
      </c>
      <c r="AB106" t="str">
        <f>IF(AND(Z106="Negada",AA106="Negada"),"Já foi negado",IF(B106="Ativo",X106*8%,"Não liberado"))</f>
        <v>Não liberado</v>
      </c>
    </row>
    <row r="107" spans="1:28">
      <c r="A107" t="s">
        <v>88</v>
      </c>
      <c r="B107" t="str">
        <f t="shared" si="13"/>
        <v>Ativo</v>
      </c>
      <c r="C107" t="str">
        <f t="shared" si="14"/>
        <v>Missandei  Tarly</v>
      </c>
      <c r="D107" s="15" t="s">
        <v>366</v>
      </c>
      <c r="E107" s="16" t="s">
        <v>367</v>
      </c>
      <c r="F107" s="16" t="str">
        <f t="shared" si="22"/>
        <v>000.000.196-00</v>
      </c>
      <c r="G107">
        <v>58</v>
      </c>
      <c r="H107">
        <f t="shared" ca="1" si="23"/>
        <v>58</v>
      </c>
      <c r="I107" s="12">
        <v>24905</v>
      </c>
      <c r="J107" t="s">
        <v>130</v>
      </c>
      <c r="K107" t="str">
        <f t="shared" si="15"/>
        <v>Meereen</v>
      </c>
      <c r="L107" t="s">
        <v>267</v>
      </c>
      <c r="M107" t="str" cm="1">
        <f t="array" ref="M107">PROPER(IF(L107&lt;&gt;"",L107,_xlfn.XLOOKUP(1,($K$2:$K$398=K107)*($L$2:$L$398&lt;&gt;""),$L$2:$L$398,"")))</f>
        <v>Essos</v>
      </c>
      <c r="N107" s="14">
        <v>12400</v>
      </c>
      <c r="O107">
        <f t="shared" si="24"/>
        <v>12400</v>
      </c>
      <c r="P107" s="14">
        <v>21500</v>
      </c>
      <c r="Q107" s="17">
        <f t="shared" si="16"/>
        <v>21500</v>
      </c>
      <c r="R107" t="s">
        <v>50</v>
      </c>
      <c r="S107" t="str">
        <f t="shared" si="17"/>
        <v>Sim</v>
      </c>
      <c r="T107" t="s">
        <v>368</v>
      </c>
      <c r="U107">
        <f t="shared" si="18"/>
        <v>24</v>
      </c>
      <c r="V107" t="s">
        <v>50</v>
      </c>
      <c r="W107">
        <v>80000</v>
      </c>
      <c r="X107">
        <f t="shared" si="19"/>
        <v>80000</v>
      </c>
      <c r="Y107" t="str">
        <f t="shared" si="20"/>
        <v>Médio</v>
      </c>
      <c r="Z107" t="str">
        <f>IF(AND(Y107="Alto",S107="Sim"),"Negada","Aprovada")</f>
        <v>Aprovada</v>
      </c>
      <c r="AA107" t="str">
        <f t="shared" si="21"/>
        <v>Aprovada</v>
      </c>
      <c r="AB107">
        <f>IF(AND(Z107="Negada",AA107="Negada"),"Já foi negado",IF(B107="Ativo",X107*8%,"Não liberado"))</f>
        <v>6400</v>
      </c>
    </row>
    <row r="108" spans="1:28">
      <c r="A108" t="s">
        <v>88</v>
      </c>
      <c r="B108" t="str">
        <f t="shared" si="13"/>
        <v>Ativo</v>
      </c>
      <c r="C108" t="str">
        <f t="shared" si="14"/>
        <v>Aegon Baelish</v>
      </c>
      <c r="D108" s="15" t="s">
        <v>369</v>
      </c>
      <c r="E108" s="16">
        <v>24000</v>
      </c>
      <c r="F108" s="16" t="str">
        <f t="shared" si="22"/>
        <v>000.000.240-00</v>
      </c>
      <c r="G108">
        <v>47</v>
      </c>
      <c r="H108">
        <f t="shared" ca="1" si="23"/>
        <v>47</v>
      </c>
      <c r="I108" s="12">
        <v>29031</v>
      </c>
      <c r="J108" t="s">
        <v>370</v>
      </c>
      <c r="K108" t="str">
        <f t="shared" si="15"/>
        <v>Meereen</v>
      </c>
      <c r="M108" t="str" cm="1">
        <f t="array" ref="M108">PROPER(IF(L108&lt;&gt;"",L108,_xlfn.XLOOKUP(1,($K$2:$K$398=K108)*($L$2:$L$398&lt;&gt;""),$L$2:$L$398,"")))</f>
        <v>Essos</v>
      </c>
      <c r="N108" s="14">
        <v>28400</v>
      </c>
      <c r="O108">
        <f t="shared" si="24"/>
        <v>28400</v>
      </c>
      <c r="P108">
        <v>78000</v>
      </c>
      <c r="Q108" s="17">
        <f t="shared" si="16"/>
        <v>78000</v>
      </c>
      <c r="R108" t="s">
        <v>49</v>
      </c>
      <c r="S108" t="str">
        <f t="shared" si="17"/>
        <v>Não</v>
      </c>
      <c r="T108">
        <v>37</v>
      </c>
      <c r="U108">
        <f t="shared" si="18"/>
        <v>37</v>
      </c>
      <c r="V108" t="s">
        <v>49</v>
      </c>
      <c r="W108">
        <v>99000</v>
      </c>
      <c r="X108">
        <f t="shared" si="19"/>
        <v>99000</v>
      </c>
      <c r="Y108" t="str">
        <f t="shared" si="20"/>
        <v>Alto</v>
      </c>
      <c r="Z108" t="str">
        <f>IF(AND(Y108="Alto",S108="Sim"),"Negada","Aprovada")</f>
        <v>Aprovada</v>
      </c>
      <c r="AA108" t="str">
        <f t="shared" si="21"/>
        <v>Aprovada</v>
      </c>
      <c r="AB108">
        <f>IF(AND(Z108="Negada",AA108="Negada"),"Já foi negado",IF(B108="Ativo",X108*8%,"Não liberado"))</f>
        <v>7920</v>
      </c>
    </row>
    <row r="109" spans="1:28">
      <c r="A109" t="s">
        <v>88</v>
      </c>
      <c r="B109" t="str">
        <f t="shared" si="13"/>
        <v>Ativo</v>
      </c>
      <c r="C109" t="str">
        <f t="shared" si="14"/>
        <v>Melisandre Targaryen</v>
      </c>
      <c r="D109" s="15" t="s">
        <v>371</v>
      </c>
      <c r="E109" s="16" t="s">
        <v>372</v>
      </c>
      <c r="F109" s="16" t="str">
        <f t="shared" si="22"/>
        <v>000.000.170-00</v>
      </c>
      <c r="G109">
        <v>31</v>
      </c>
      <c r="H109">
        <f t="shared" ca="1" si="23"/>
        <v>31</v>
      </c>
      <c r="I109" s="12">
        <v>34852</v>
      </c>
      <c r="J109" t="s">
        <v>224</v>
      </c>
      <c r="K109" t="str">
        <f t="shared" si="15"/>
        <v>Fosso Cailin</v>
      </c>
      <c r="M109" t="str" cm="1">
        <f t="array" ref="M109">PROPER(IF(L109&lt;&gt;"",L109,_xlfn.XLOOKUP(1,($K$2:$K$398=K109)*($L$2:$L$398&lt;&gt;""),$L$2:$L$398,"")))</f>
        <v>Norte</v>
      </c>
      <c r="N109">
        <v>20500</v>
      </c>
      <c r="O109">
        <f t="shared" si="24"/>
        <v>20500</v>
      </c>
      <c r="P109" s="13">
        <v>47500</v>
      </c>
      <c r="Q109" s="17">
        <f t="shared" si="16"/>
        <v>47500</v>
      </c>
      <c r="R109" t="s">
        <v>49</v>
      </c>
      <c r="S109" t="str">
        <f t="shared" si="17"/>
        <v>Não</v>
      </c>
      <c r="T109">
        <v>11</v>
      </c>
      <c r="U109">
        <f t="shared" si="18"/>
        <v>11</v>
      </c>
      <c r="V109" t="s">
        <v>49</v>
      </c>
      <c r="W109">
        <v>18500</v>
      </c>
      <c r="X109">
        <f t="shared" si="19"/>
        <v>18500</v>
      </c>
      <c r="Y109" t="str">
        <f t="shared" si="20"/>
        <v>Médio</v>
      </c>
      <c r="Z109" t="str">
        <f>IF(AND(Y109="Alto",S109="Sim"),"Negada","Aprovada")</f>
        <v>Aprovada</v>
      </c>
      <c r="AA109" t="str">
        <f t="shared" si="21"/>
        <v>Aprovada</v>
      </c>
      <c r="AB109">
        <f>IF(AND(Z109="Negada",AA109="Negada"),"Já foi negado",IF(B109="Ativo",X109*8%,"Não liberado"))</f>
        <v>1480</v>
      </c>
    </row>
    <row r="110" spans="1:28">
      <c r="A110" t="s">
        <v>373</v>
      </c>
      <c r="B110" t="str">
        <f t="shared" si="13"/>
        <v>Bloqueado</v>
      </c>
      <c r="C110" t="str">
        <f t="shared" si="14"/>
        <v>Roose Cerwyn</v>
      </c>
      <c r="D110" s="15" t="s">
        <v>374</v>
      </c>
      <c r="E110" s="16" t="s">
        <v>375</v>
      </c>
      <c r="F110" s="16" t="str">
        <f t="shared" si="22"/>
        <v>000.000.047-00</v>
      </c>
      <c r="G110">
        <v>63</v>
      </c>
      <c r="H110">
        <f t="shared" ca="1" si="23"/>
        <v>63</v>
      </c>
      <c r="I110" s="12">
        <v>23084</v>
      </c>
      <c r="J110" t="s">
        <v>157</v>
      </c>
      <c r="K110" t="str">
        <f t="shared" si="15"/>
        <v>Vilavelha</v>
      </c>
      <c r="L110" t="s">
        <v>158</v>
      </c>
      <c r="M110" t="str" cm="1">
        <f t="array" ref="M110">PROPER(IF(L110&lt;&gt;"",L110,_xlfn.XLOOKUP(1,($K$2:$K$398=K110)*($L$2:$L$398&lt;&gt;""),$L$2:$L$398,"")))</f>
        <v>Campina</v>
      </c>
      <c r="N110">
        <v>17300</v>
      </c>
      <c r="O110">
        <f t="shared" si="24"/>
        <v>17300</v>
      </c>
      <c r="P110">
        <v>22000</v>
      </c>
      <c r="Q110" s="17">
        <f t="shared" si="16"/>
        <v>22000</v>
      </c>
      <c r="R110" t="s">
        <v>49</v>
      </c>
      <c r="S110" t="str">
        <f t="shared" si="17"/>
        <v>Não</v>
      </c>
      <c r="T110">
        <v>10</v>
      </c>
      <c r="U110">
        <f t="shared" si="18"/>
        <v>10</v>
      </c>
      <c r="V110" t="s">
        <v>49</v>
      </c>
      <c r="W110">
        <v>97000</v>
      </c>
      <c r="X110">
        <f t="shared" si="19"/>
        <v>97000</v>
      </c>
      <c r="Y110" t="str">
        <f t="shared" si="20"/>
        <v>Baixo</v>
      </c>
      <c r="Z110" t="str">
        <f>IF(AND(Y110="Alto",S110="Sim"),"Negada","Aprovada")</f>
        <v>Aprovada</v>
      </c>
      <c r="AA110" t="str">
        <f t="shared" si="21"/>
        <v>Aprovada</v>
      </c>
      <c r="AB110" t="str">
        <f>IF(AND(Z110="Negada",AA110="Negada"),"Já foi negado",IF(B110="Ativo",X110*8%,"Não liberado"))</f>
        <v>Não liberado</v>
      </c>
    </row>
    <row r="111" spans="1:28">
      <c r="A111" t="s">
        <v>88</v>
      </c>
      <c r="B111" t="str">
        <f t="shared" si="13"/>
        <v>Ativo</v>
      </c>
      <c r="C111" t="str">
        <f t="shared" si="14"/>
        <v>Shae Frey</v>
      </c>
      <c r="D111" s="15" t="s">
        <v>376</v>
      </c>
      <c r="E111" s="16">
        <v>12700</v>
      </c>
      <c r="F111" s="16" t="str">
        <f t="shared" si="22"/>
        <v>000.000.127-00</v>
      </c>
      <c r="G111">
        <v>26</v>
      </c>
      <c r="H111">
        <f t="shared" ca="1" si="23"/>
        <v>26</v>
      </c>
      <c r="I111" s="12">
        <v>36518</v>
      </c>
      <c r="J111" t="s">
        <v>163</v>
      </c>
      <c r="K111" t="str">
        <f t="shared" si="15"/>
        <v>Ilha dos Ursos</v>
      </c>
      <c r="L111" t="s">
        <v>151</v>
      </c>
      <c r="M111" t="str" cm="1">
        <f t="array" ref="M111">PROPER(IF(L111&lt;&gt;"",L111,_xlfn.XLOOKUP(1,($K$2:$K$398=K111)*($L$2:$L$398&lt;&gt;""),$L$2:$L$398,"")))</f>
        <v>Norte</v>
      </c>
      <c r="N111" s="13">
        <v>5000</v>
      </c>
      <c r="O111">
        <f t="shared" si="24"/>
        <v>5000</v>
      </c>
      <c r="P111" t="s">
        <v>377</v>
      </c>
      <c r="Q111" s="17">
        <f t="shared" si="16"/>
        <v>61500</v>
      </c>
      <c r="R111" t="s">
        <v>49</v>
      </c>
      <c r="S111" t="str">
        <f t="shared" si="17"/>
        <v>Não</v>
      </c>
      <c r="T111">
        <v>35</v>
      </c>
      <c r="U111">
        <f t="shared" si="18"/>
        <v>35</v>
      </c>
      <c r="V111" t="s">
        <v>49</v>
      </c>
      <c r="W111">
        <v>18500</v>
      </c>
      <c r="X111">
        <f t="shared" si="19"/>
        <v>18500</v>
      </c>
      <c r="Y111" t="str">
        <f t="shared" si="20"/>
        <v>Alto</v>
      </c>
      <c r="Z111" t="str">
        <f>IF(AND(Y111="Alto",S111="Sim"),"Negada","Aprovada")</f>
        <v>Aprovada</v>
      </c>
      <c r="AA111" t="str">
        <f t="shared" si="21"/>
        <v>Aprovada</v>
      </c>
      <c r="AB111">
        <f>IF(AND(Z111="Negada",AA111="Negada"),"Já foi negado",IF(B111="Ativo",X111*8%,"Não liberado"))</f>
        <v>1480</v>
      </c>
    </row>
    <row r="112" spans="1:28">
      <c r="A112" t="s">
        <v>88</v>
      </c>
      <c r="B112" t="str">
        <f t="shared" si="13"/>
        <v>Ativo</v>
      </c>
      <c r="C112" t="str">
        <f t="shared" si="14"/>
        <v>Lyanna Swyft</v>
      </c>
      <c r="D112" s="15" t="s">
        <v>378</v>
      </c>
      <c r="E112" s="16">
        <v>18000</v>
      </c>
      <c r="F112" s="16" t="str">
        <f t="shared" si="22"/>
        <v>000.000.180-00</v>
      </c>
      <c r="G112">
        <v>29</v>
      </c>
      <c r="H112">
        <f t="shared" ca="1" si="23"/>
        <v>29</v>
      </c>
      <c r="I112" s="12">
        <v>35344</v>
      </c>
      <c r="J112" t="s">
        <v>91</v>
      </c>
      <c r="K112" t="str">
        <f t="shared" si="15"/>
        <v>Ninho da Águia</v>
      </c>
      <c r="L112" t="s">
        <v>110</v>
      </c>
      <c r="M112" t="str" cm="1">
        <f t="array" ref="M112">PROPER(IF(L112&lt;&gt;"",L112,_xlfn.XLOOKUP(1,($K$2:$K$398=K112)*($L$2:$L$398&lt;&gt;""),$L$2:$L$398,"")))</f>
        <v>Vale</v>
      </c>
      <c r="N112">
        <v>19900</v>
      </c>
      <c r="O112">
        <f t="shared" si="24"/>
        <v>19900</v>
      </c>
      <c r="P112">
        <v>49500</v>
      </c>
      <c r="Q112" s="17">
        <f t="shared" si="16"/>
        <v>49500</v>
      </c>
      <c r="R112" t="s">
        <v>50</v>
      </c>
      <c r="S112" t="str">
        <f t="shared" si="17"/>
        <v>Sim</v>
      </c>
      <c r="T112">
        <v>27</v>
      </c>
      <c r="U112">
        <f t="shared" si="18"/>
        <v>27</v>
      </c>
      <c r="V112" t="s">
        <v>50</v>
      </c>
      <c r="W112">
        <v>23000</v>
      </c>
      <c r="X112">
        <f t="shared" si="19"/>
        <v>23000</v>
      </c>
      <c r="Y112" t="str">
        <f t="shared" si="20"/>
        <v>Alto</v>
      </c>
      <c r="Z112" t="str">
        <f>IF(AND(Y112="Alto",S112="Sim"),"Negada","Aprovada")</f>
        <v>Negada</v>
      </c>
      <c r="AA112" t="str">
        <f t="shared" si="21"/>
        <v>Aprovada</v>
      </c>
      <c r="AB112">
        <f>IF(AND(Z112="Negada",AA112="Negada"),"Já foi negado",IF(B112="Ativo",X112*8%,"Não liberado"))</f>
        <v>1840</v>
      </c>
    </row>
    <row r="113" spans="1:28">
      <c r="A113" t="s">
        <v>88</v>
      </c>
      <c r="B113" t="str">
        <f t="shared" si="13"/>
        <v>Ativo</v>
      </c>
      <c r="C113" t="str">
        <f t="shared" si="14"/>
        <v>Rhaegar Targaryen</v>
      </c>
      <c r="D113" s="15" t="s">
        <v>379</v>
      </c>
      <c r="E113" s="16" t="s">
        <v>380</v>
      </c>
      <c r="F113" s="16" t="str">
        <f t="shared" si="22"/>
        <v>000.000.342-00</v>
      </c>
      <c r="G113">
        <v>51</v>
      </c>
      <c r="H113">
        <f t="shared" ca="1" si="23"/>
        <v>51</v>
      </c>
      <c r="I113" s="12">
        <v>27413</v>
      </c>
      <c r="J113" t="s">
        <v>171</v>
      </c>
      <c r="K113" t="str">
        <f t="shared" si="15"/>
        <v>Fosso Cailin</v>
      </c>
      <c r="L113" t="s">
        <v>164</v>
      </c>
      <c r="M113" t="str" cm="1">
        <f t="array" ref="M113">PROPER(IF(L113&lt;&gt;"",L113,_xlfn.XLOOKUP(1,($K$2:$K$398=K113)*($L$2:$L$398&lt;&gt;""),$L$2:$L$398,"")))</f>
        <v>Norte</v>
      </c>
      <c r="N113">
        <v>18500</v>
      </c>
      <c r="O113">
        <f t="shared" si="24"/>
        <v>18500</v>
      </c>
      <c r="P113" s="14">
        <v>69500</v>
      </c>
      <c r="Q113" s="17">
        <f t="shared" si="16"/>
        <v>69500</v>
      </c>
      <c r="R113" t="s">
        <v>49</v>
      </c>
      <c r="S113" t="str">
        <f t="shared" si="17"/>
        <v>Não</v>
      </c>
      <c r="T113" t="s">
        <v>381</v>
      </c>
      <c r="U113">
        <f t="shared" si="18"/>
        <v>31</v>
      </c>
      <c r="V113" t="s">
        <v>49</v>
      </c>
      <c r="W113">
        <v>18000</v>
      </c>
      <c r="X113">
        <f t="shared" si="19"/>
        <v>18000</v>
      </c>
      <c r="Y113" t="str">
        <f t="shared" si="20"/>
        <v>Alto</v>
      </c>
      <c r="Z113" t="str">
        <f>IF(AND(Y113="Alto",S113="Sim"),"Negada","Aprovada")</f>
        <v>Aprovada</v>
      </c>
      <c r="AA113" t="str">
        <f t="shared" si="21"/>
        <v>Aprovada</v>
      </c>
      <c r="AB113">
        <f>IF(AND(Z113="Negada",AA113="Negada"),"Já foi negado",IF(B113="Ativo",X113*8%,"Não liberado"))</f>
        <v>1440</v>
      </c>
    </row>
    <row r="114" spans="1:28">
      <c r="A114" t="s">
        <v>88</v>
      </c>
      <c r="B114" t="str">
        <f t="shared" si="13"/>
        <v>Ativo</v>
      </c>
      <c r="C114" t="str">
        <f t="shared" si="14"/>
        <v>Varys Targaryen</v>
      </c>
      <c r="D114" s="15" t="s">
        <v>382</v>
      </c>
      <c r="E114" s="16" t="s">
        <v>383</v>
      </c>
      <c r="F114" s="16" t="str">
        <f t="shared" si="22"/>
        <v>000.000.234-00</v>
      </c>
      <c r="G114">
        <v>46</v>
      </c>
      <c r="H114">
        <f t="shared" ca="1" si="23"/>
        <v>46</v>
      </c>
      <c r="I114" s="12">
        <v>29197</v>
      </c>
      <c r="J114" t="s">
        <v>130</v>
      </c>
      <c r="K114" t="str">
        <f t="shared" si="15"/>
        <v>Meereen</v>
      </c>
      <c r="L114" t="s">
        <v>131</v>
      </c>
      <c r="M114" t="str" cm="1">
        <f t="array" ref="M114">PROPER(IF(L114&lt;&gt;"",L114,_xlfn.XLOOKUP(1,($K$2:$K$398=K114)*($L$2:$L$398&lt;&gt;""),$L$2:$L$398,"")))</f>
        <v>Essos</v>
      </c>
      <c r="N114">
        <v>3200</v>
      </c>
      <c r="O114">
        <f t="shared" si="24"/>
        <v>3200</v>
      </c>
      <c r="P114">
        <v>0</v>
      </c>
      <c r="Q114" s="17">
        <f t="shared" si="16"/>
        <v>0</v>
      </c>
      <c r="R114" t="s">
        <v>49</v>
      </c>
      <c r="S114" t="str">
        <f t="shared" si="17"/>
        <v>Não</v>
      </c>
      <c r="T114">
        <v>16</v>
      </c>
      <c r="U114">
        <f t="shared" si="18"/>
        <v>16</v>
      </c>
      <c r="V114" t="s">
        <v>49</v>
      </c>
      <c r="W114">
        <v>61500</v>
      </c>
      <c r="X114">
        <f t="shared" si="19"/>
        <v>61500</v>
      </c>
      <c r="Y114" t="str">
        <f t="shared" si="20"/>
        <v>Médio</v>
      </c>
      <c r="Z114" t="str">
        <f>IF(AND(Y114="Alto",S114="Sim"),"Negada","Aprovada")</f>
        <v>Aprovada</v>
      </c>
      <c r="AA114" t="str">
        <f t="shared" si="21"/>
        <v>Aprovada</v>
      </c>
      <c r="AB114">
        <f>IF(AND(Z114="Negada",AA114="Negada"),"Já foi negado",IF(B114="Ativo",X114*8%,"Não liberado"))</f>
        <v>4920</v>
      </c>
    </row>
    <row r="115" spans="1:28">
      <c r="A115" t="s">
        <v>88</v>
      </c>
      <c r="B115" t="str">
        <f t="shared" si="13"/>
        <v>Ativo</v>
      </c>
      <c r="C115" t="str">
        <f t="shared" si="14"/>
        <v>Robb Stark</v>
      </c>
      <c r="D115" s="15" t="s">
        <v>384</v>
      </c>
      <c r="E115" s="16" t="s">
        <v>385</v>
      </c>
      <c r="F115" s="16" t="str">
        <f t="shared" si="22"/>
        <v>000.000.228-00</v>
      </c>
      <c r="G115">
        <v>65</v>
      </c>
      <c r="H115">
        <f t="shared" ca="1" si="23"/>
        <v>65</v>
      </c>
      <c r="I115" s="12">
        <v>22505</v>
      </c>
      <c r="J115" t="s">
        <v>163</v>
      </c>
      <c r="K115" t="str">
        <f t="shared" si="15"/>
        <v>Ilha dos Ursos</v>
      </c>
      <c r="L115" t="s">
        <v>151</v>
      </c>
      <c r="M115" t="str" cm="1">
        <f t="array" ref="M115">PROPER(IF(L115&lt;&gt;"",L115,_xlfn.XLOOKUP(1,($K$2:$K$398=K115)*($L$2:$L$398&lt;&gt;""),$L$2:$L$398,"")))</f>
        <v>Norte</v>
      </c>
      <c r="N115" s="13">
        <v>29000</v>
      </c>
      <c r="O115">
        <f t="shared" si="24"/>
        <v>29000</v>
      </c>
      <c r="P115">
        <v>28500</v>
      </c>
      <c r="Q115" s="17">
        <f t="shared" si="16"/>
        <v>28500</v>
      </c>
      <c r="R115" t="s">
        <v>49</v>
      </c>
      <c r="S115" t="str">
        <f t="shared" si="17"/>
        <v>Não</v>
      </c>
      <c r="T115">
        <v>28</v>
      </c>
      <c r="U115">
        <f t="shared" si="18"/>
        <v>28</v>
      </c>
      <c r="V115" t="s">
        <v>49</v>
      </c>
      <c r="W115">
        <v>57500</v>
      </c>
      <c r="X115">
        <f t="shared" si="19"/>
        <v>57500</v>
      </c>
      <c r="Y115" t="str">
        <f t="shared" si="20"/>
        <v>Alto</v>
      </c>
      <c r="Z115" t="str">
        <f>IF(AND(Y115="Alto",S115="Sim"),"Negada","Aprovada")</f>
        <v>Aprovada</v>
      </c>
      <c r="AA115" t="str">
        <f t="shared" si="21"/>
        <v>Aprovada</v>
      </c>
      <c r="AB115">
        <f>IF(AND(Z115="Negada",AA115="Negada"),"Já foi negado",IF(B115="Ativo",X115*8%,"Não liberado"))</f>
        <v>4600</v>
      </c>
    </row>
    <row r="116" spans="1:28">
      <c r="A116" t="s">
        <v>88</v>
      </c>
      <c r="B116" t="str">
        <f t="shared" si="13"/>
        <v>Ativo</v>
      </c>
      <c r="C116" t="str">
        <f t="shared" si="14"/>
        <v>Gendry Hightower</v>
      </c>
      <c r="D116" s="15" t="s">
        <v>386</v>
      </c>
      <c r="E116" s="16" t="s">
        <v>387</v>
      </c>
      <c r="F116" s="16" t="str">
        <f t="shared" si="22"/>
        <v>000.000.167-00</v>
      </c>
      <c r="G116">
        <v>26</v>
      </c>
      <c r="H116">
        <f t="shared" ca="1" si="23"/>
        <v>26</v>
      </c>
      <c r="I116" s="12">
        <v>36475</v>
      </c>
      <c r="J116" t="s">
        <v>388</v>
      </c>
      <c r="K116" t="str">
        <f t="shared" si="15"/>
        <v>Harrenhal</v>
      </c>
      <c r="M116" t="str" cm="1">
        <f t="array" ref="M116">PROPER(IF(L116&lt;&gt;"",L116,_xlfn.XLOOKUP(1,($K$2:$K$398=K116)*($L$2:$L$398&lt;&gt;""),$L$2:$L$398,"")))</f>
        <v>Terras Fluviais</v>
      </c>
      <c r="N116">
        <v>13900</v>
      </c>
      <c r="O116">
        <f t="shared" si="24"/>
        <v>13900</v>
      </c>
      <c r="P116" s="13">
        <v>53500</v>
      </c>
      <c r="Q116" s="17">
        <f t="shared" si="16"/>
        <v>53500</v>
      </c>
      <c r="R116" t="s">
        <v>49</v>
      </c>
      <c r="S116" t="str">
        <f t="shared" si="17"/>
        <v>Não</v>
      </c>
      <c r="T116">
        <v>12</v>
      </c>
      <c r="U116">
        <f t="shared" si="18"/>
        <v>12</v>
      </c>
      <c r="V116" t="s">
        <v>49</v>
      </c>
      <c r="W116">
        <v>85000</v>
      </c>
      <c r="X116">
        <f t="shared" si="19"/>
        <v>85000</v>
      </c>
      <c r="Y116" t="str">
        <f t="shared" si="20"/>
        <v>Médio</v>
      </c>
      <c r="Z116" t="str">
        <f>IF(AND(Y116="Alto",S116="Sim"),"Negada","Aprovada")</f>
        <v>Aprovada</v>
      </c>
      <c r="AA116" t="str">
        <f t="shared" si="21"/>
        <v>Aprovada</v>
      </c>
      <c r="AB116">
        <f>IF(AND(Z116="Negada",AA116="Negada"),"Já foi negado",IF(B116="Ativo",X116*8%,"Não liberado"))</f>
        <v>6800</v>
      </c>
    </row>
    <row r="117" spans="1:28">
      <c r="A117" t="s">
        <v>93</v>
      </c>
      <c r="B117" t="str">
        <f t="shared" si="13"/>
        <v>Inativo</v>
      </c>
      <c r="C117" t="str">
        <f t="shared" si="14"/>
        <v>Tormund Glover</v>
      </c>
      <c r="D117" s="15" t="s">
        <v>389</v>
      </c>
      <c r="E117" s="16" t="s">
        <v>390</v>
      </c>
      <c r="F117" s="16" t="str">
        <f t="shared" si="22"/>
        <v>000.000.087-00</v>
      </c>
      <c r="G117">
        <v>63</v>
      </c>
      <c r="H117">
        <f t="shared" ca="1" si="23"/>
        <v>63</v>
      </c>
      <c r="I117" s="12">
        <v>22994</v>
      </c>
      <c r="J117" t="s">
        <v>121</v>
      </c>
      <c r="K117" t="str">
        <f t="shared" si="15"/>
        <v>Pyke</v>
      </c>
      <c r="L117" t="s">
        <v>127</v>
      </c>
      <c r="M117" t="str" cm="1">
        <f t="array" ref="M117">PROPER(IF(L117&lt;&gt;"",L117,_xlfn.XLOOKUP(1,($K$2:$K$398=K117)*($L$2:$L$398&lt;&gt;""),$L$2:$L$398,"")))</f>
        <v>Ilhas De Ferro</v>
      </c>
      <c r="N117">
        <v>20000</v>
      </c>
      <c r="O117">
        <f t="shared" si="24"/>
        <v>20000</v>
      </c>
      <c r="P117" s="13">
        <v>29500</v>
      </c>
      <c r="Q117" s="17">
        <f t="shared" si="16"/>
        <v>29500</v>
      </c>
      <c r="R117" t="s">
        <v>49</v>
      </c>
      <c r="S117" t="str">
        <f t="shared" si="17"/>
        <v>Não</v>
      </c>
      <c r="T117">
        <v>42</v>
      </c>
      <c r="U117">
        <f t="shared" si="18"/>
        <v>42</v>
      </c>
      <c r="V117" t="s">
        <v>49</v>
      </c>
      <c r="W117">
        <v>5000</v>
      </c>
      <c r="X117">
        <f t="shared" si="19"/>
        <v>5000</v>
      </c>
      <c r="Y117" t="str">
        <f t="shared" si="20"/>
        <v>Alto</v>
      </c>
      <c r="Z117" t="str">
        <f>IF(AND(Y117="Alto",S117="Sim"),"Negada","Aprovada")</f>
        <v>Aprovada</v>
      </c>
      <c r="AA117" t="str">
        <f t="shared" si="21"/>
        <v>Aprovada</v>
      </c>
      <c r="AB117" t="str">
        <f>IF(AND(Z117="Negada",AA117="Negada"),"Já foi negado",IF(B117="Ativo",X117*8%,"Não liberado"))</f>
        <v>Não liberado</v>
      </c>
    </row>
    <row r="118" spans="1:28">
      <c r="A118" t="s">
        <v>88</v>
      </c>
      <c r="B118" t="str">
        <f t="shared" si="13"/>
        <v>Ativo</v>
      </c>
      <c r="C118" t="str">
        <f t="shared" si="14"/>
        <v>Tyrion Snow</v>
      </c>
      <c r="D118" s="15" t="s">
        <v>391</v>
      </c>
      <c r="E118" s="16">
        <v>27900</v>
      </c>
      <c r="F118" s="16" t="str">
        <f t="shared" si="22"/>
        <v>000.000.279-00</v>
      </c>
      <c r="G118">
        <v>71</v>
      </c>
      <c r="H118">
        <f t="shared" ca="1" si="23"/>
        <v>71</v>
      </c>
      <c r="I118" s="12">
        <v>20094</v>
      </c>
      <c r="J118" t="s">
        <v>226</v>
      </c>
      <c r="K118" t="str">
        <f t="shared" si="15"/>
        <v>Monte Chifre</v>
      </c>
      <c r="L118" t="s">
        <v>158</v>
      </c>
      <c r="M118" t="str" cm="1">
        <f t="array" ref="M118">PROPER(IF(L118&lt;&gt;"",L118,_xlfn.XLOOKUP(1,($K$2:$K$398=K118)*($L$2:$L$398&lt;&gt;""),$L$2:$L$398,"")))</f>
        <v>Campina</v>
      </c>
      <c r="N118">
        <v>24100</v>
      </c>
      <c r="O118">
        <f t="shared" si="24"/>
        <v>24100</v>
      </c>
      <c r="P118">
        <v>0</v>
      </c>
      <c r="Q118" s="17">
        <f t="shared" si="16"/>
        <v>0</v>
      </c>
      <c r="R118" t="s">
        <v>49</v>
      </c>
      <c r="S118" t="str">
        <f t="shared" si="17"/>
        <v>Não</v>
      </c>
      <c r="T118">
        <v>10</v>
      </c>
      <c r="U118">
        <f t="shared" si="18"/>
        <v>10</v>
      </c>
      <c r="V118" t="s">
        <v>49</v>
      </c>
      <c r="W118">
        <v>87000</v>
      </c>
      <c r="X118">
        <f t="shared" si="19"/>
        <v>87000</v>
      </c>
      <c r="Y118" t="str">
        <f t="shared" si="20"/>
        <v>Baixo</v>
      </c>
      <c r="Z118" t="str">
        <f>IF(AND(Y118="Alto",S118="Sim"),"Negada","Aprovada")</f>
        <v>Aprovada</v>
      </c>
      <c r="AA118" t="str">
        <f t="shared" si="21"/>
        <v>Aprovada</v>
      </c>
      <c r="AB118">
        <f>IF(AND(Z118="Negada",AA118="Negada"),"Já foi negado",IF(B118="Ativo",X118*8%,"Não liberado"))</f>
        <v>6960</v>
      </c>
    </row>
    <row r="119" spans="1:28">
      <c r="A119" t="s">
        <v>88</v>
      </c>
      <c r="B119" t="str">
        <f t="shared" si="13"/>
        <v>Ativo</v>
      </c>
      <c r="C119" t="str">
        <f t="shared" si="14"/>
        <v>Beric  Umber</v>
      </c>
      <c r="D119" s="15" t="s">
        <v>392</v>
      </c>
      <c r="F119" s="16" t="str">
        <f t="shared" si="22"/>
        <v>000.000.000-00</v>
      </c>
      <c r="G119">
        <v>73</v>
      </c>
      <c r="H119">
        <f t="shared" ca="1" si="23"/>
        <v>73</v>
      </c>
      <c r="I119" s="12">
        <v>19538</v>
      </c>
      <c r="J119" t="s">
        <v>100</v>
      </c>
      <c r="K119" t="str">
        <f t="shared" si="15"/>
        <v>Pedra do Dragão</v>
      </c>
      <c r="L119" t="s">
        <v>341</v>
      </c>
      <c r="M119" t="str" cm="1">
        <f t="array" ref="M119">PROPER(IF(L119&lt;&gt;"",L119,_xlfn.XLOOKUP(1,($K$2:$K$398=K119)*($L$2:$L$398&lt;&gt;""),$L$2:$L$398,"")))</f>
        <v>Terras Da Coroa</v>
      </c>
      <c r="N119">
        <v>12700</v>
      </c>
      <c r="O119">
        <f t="shared" si="24"/>
        <v>12700</v>
      </c>
      <c r="P119" s="13">
        <v>79500</v>
      </c>
      <c r="Q119" s="17">
        <f t="shared" si="16"/>
        <v>79500</v>
      </c>
      <c r="R119" t="s">
        <v>49</v>
      </c>
      <c r="S119" t="str">
        <f t="shared" si="17"/>
        <v>Não</v>
      </c>
      <c r="T119">
        <v>35</v>
      </c>
      <c r="U119">
        <f t="shared" si="18"/>
        <v>35</v>
      </c>
      <c r="V119" t="s">
        <v>49</v>
      </c>
      <c r="W119">
        <v>39000</v>
      </c>
      <c r="X119">
        <f t="shared" si="19"/>
        <v>39000</v>
      </c>
      <c r="Y119" t="str">
        <f t="shared" si="20"/>
        <v>Alto</v>
      </c>
      <c r="Z119" t="str">
        <f>IF(AND(Y119="Alto",S119="Sim"),"Negada","Aprovada")</f>
        <v>Aprovada</v>
      </c>
      <c r="AA119" t="str">
        <f t="shared" si="21"/>
        <v>Aprovada</v>
      </c>
      <c r="AB119">
        <f>IF(AND(Z119="Negada",AA119="Negada"),"Já foi negado",IF(B119="Ativo",X119*8%,"Não liberado"))</f>
        <v>3120</v>
      </c>
    </row>
    <row r="120" spans="1:28">
      <c r="A120" t="s">
        <v>88</v>
      </c>
      <c r="B120" t="str">
        <f t="shared" si="13"/>
        <v>Ativo</v>
      </c>
      <c r="C120" t="str">
        <f t="shared" si="14"/>
        <v>Varys Florent</v>
      </c>
      <c r="D120" s="15" t="s">
        <v>393</v>
      </c>
      <c r="E120" s="16">
        <v>26400</v>
      </c>
      <c r="F120" s="16" t="str">
        <f t="shared" si="22"/>
        <v>000.000.264-00</v>
      </c>
      <c r="G120">
        <v>57</v>
      </c>
      <c r="H120">
        <f t="shared" ca="1" si="23"/>
        <v>57</v>
      </c>
      <c r="I120" s="12">
        <v>25238</v>
      </c>
      <c r="J120" t="s">
        <v>388</v>
      </c>
      <c r="K120" t="str">
        <f t="shared" si="15"/>
        <v>Harrenhal</v>
      </c>
      <c r="M120" t="str" cm="1">
        <f t="array" ref="M120">PROPER(IF(L120&lt;&gt;"",L120,_xlfn.XLOOKUP(1,($K$2:$K$398=K120)*($L$2:$L$398&lt;&gt;""),$L$2:$L$398,"")))</f>
        <v>Terras Fluviais</v>
      </c>
      <c r="N120">
        <v>3200</v>
      </c>
      <c r="O120">
        <f t="shared" si="24"/>
        <v>3200</v>
      </c>
      <c r="Q120" s="17">
        <f t="shared" si="16"/>
        <v>0</v>
      </c>
      <c r="R120" t="s">
        <v>49</v>
      </c>
      <c r="S120" t="str">
        <f t="shared" si="17"/>
        <v>Não</v>
      </c>
      <c r="T120">
        <v>18</v>
      </c>
      <c r="U120">
        <f t="shared" si="18"/>
        <v>18</v>
      </c>
      <c r="V120" t="s">
        <v>49</v>
      </c>
      <c r="W120">
        <v>64000</v>
      </c>
      <c r="X120">
        <f t="shared" si="19"/>
        <v>64000</v>
      </c>
      <c r="Y120" t="str">
        <f t="shared" si="20"/>
        <v>Médio</v>
      </c>
      <c r="Z120" t="str">
        <f>IF(AND(Y120="Alto",S120="Sim"),"Negada","Aprovada")</f>
        <v>Aprovada</v>
      </c>
      <c r="AA120" t="str">
        <f t="shared" si="21"/>
        <v>Aprovada</v>
      </c>
      <c r="AB120">
        <f>IF(AND(Z120="Negada",AA120="Negada"),"Já foi negado",IF(B120="Ativo",X120*8%,"Não liberado"))</f>
        <v>5120</v>
      </c>
    </row>
    <row r="121" spans="1:28">
      <c r="A121" t="s">
        <v>88</v>
      </c>
      <c r="B121" t="str">
        <f t="shared" si="13"/>
        <v>Ativo</v>
      </c>
      <c r="C121" t="str">
        <f t="shared" si="14"/>
        <v>Catelyn Umber</v>
      </c>
      <c r="D121" s="15" t="s">
        <v>394</v>
      </c>
      <c r="E121" s="16">
        <v>9900</v>
      </c>
      <c r="F121" s="16" t="str">
        <f t="shared" si="22"/>
        <v>000.000.099-00</v>
      </c>
      <c r="G121">
        <v>64</v>
      </c>
      <c r="H121">
        <f t="shared" ca="1" si="23"/>
        <v>64</v>
      </c>
      <c r="I121" s="12">
        <v>22828</v>
      </c>
      <c r="J121" t="s">
        <v>178</v>
      </c>
      <c r="K121" t="str">
        <f t="shared" si="15"/>
        <v>Harrenhal</v>
      </c>
      <c r="L121" t="s">
        <v>155</v>
      </c>
      <c r="M121" t="str" cm="1">
        <f t="array" ref="M121">PROPER(IF(L121&lt;&gt;"",L121,_xlfn.XLOOKUP(1,($K$2:$K$398=K121)*($L$2:$L$398&lt;&gt;""),$L$2:$L$398,"")))</f>
        <v>Terras Fluviais</v>
      </c>
      <c r="N121" s="13">
        <v>2900</v>
      </c>
      <c r="O121">
        <f t="shared" si="24"/>
        <v>2900</v>
      </c>
      <c r="P121" s="13">
        <v>76000</v>
      </c>
      <c r="Q121" s="17">
        <f t="shared" si="16"/>
        <v>76000</v>
      </c>
      <c r="R121" t="s">
        <v>49</v>
      </c>
      <c r="S121" t="str">
        <f t="shared" si="17"/>
        <v>Não</v>
      </c>
      <c r="T121">
        <v>32</v>
      </c>
      <c r="U121">
        <f t="shared" si="18"/>
        <v>32</v>
      </c>
      <c r="V121" t="s">
        <v>49</v>
      </c>
      <c r="W121">
        <v>72500</v>
      </c>
      <c r="X121">
        <f t="shared" si="19"/>
        <v>72500</v>
      </c>
      <c r="Y121" t="str">
        <f t="shared" si="20"/>
        <v>Alto</v>
      </c>
      <c r="Z121" t="str">
        <f>IF(AND(Y121="Alto",S121="Sim"),"Negada","Aprovada")</f>
        <v>Aprovada</v>
      </c>
      <c r="AA121" t="str">
        <f t="shared" si="21"/>
        <v>Aprovada</v>
      </c>
      <c r="AB121">
        <f>IF(AND(Z121="Negada",AA121="Negada"),"Já foi negado",IF(B121="Ativo",X121*8%,"Não liberado"))</f>
        <v>5800</v>
      </c>
    </row>
    <row r="122" spans="1:28">
      <c r="A122" t="s">
        <v>93</v>
      </c>
      <c r="B122" t="str">
        <f t="shared" si="13"/>
        <v>Inativo</v>
      </c>
      <c r="C122" t="str">
        <f t="shared" si="14"/>
        <v>Samwell Glover</v>
      </c>
      <c r="D122" s="15" t="s">
        <v>395</v>
      </c>
      <c r="E122" s="16">
        <v>16000</v>
      </c>
      <c r="F122" s="16" t="str">
        <f t="shared" si="22"/>
        <v>000.000.160-00</v>
      </c>
      <c r="G122">
        <v>73</v>
      </c>
      <c r="H122">
        <f t="shared" ca="1" si="23"/>
        <v>73</v>
      </c>
      <c r="I122" s="12">
        <v>19299</v>
      </c>
      <c r="J122" t="s">
        <v>95</v>
      </c>
      <c r="K122" t="str">
        <f t="shared" si="15"/>
        <v>Ponta Tempestade</v>
      </c>
      <c r="L122" t="s">
        <v>144</v>
      </c>
      <c r="M122" t="str" cm="1">
        <f t="array" ref="M122">PROPER(IF(L122&lt;&gt;"",L122,_xlfn.XLOOKUP(1,($K$2:$K$398=K122)*($L$2:$L$398&lt;&gt;""),$L$2:$L$398,"")))</f>
        <v>Terras Da Tempestade</v>
      </c>
      <c r="N122">
        <v>7100</v>
      </c>
      <c r="O122">
        <f t="shared" si="24"/>
        <v>7100</v>
      </c>
      <c r="P122" s="13">
        <v>58000</v>
      </c>
      <c r="Q122" s="17">
        <f t="shared" si="16"/>
        <v>58000</v>
      </c>
      <c r="R122" t="s">
        <v>50</v>
      </c>
      <c r="S122" t="str">
        <f t="shared" si="17"/>
        <v>Sim</v>
      </c>
      <c r="T122">
        <v>22</v>
      </c>
      <c r="U122">
        <f t="shared" si="18"/>
        <v>22</v>
      </c>
      <c r="V122" t="s">
        <v>50</v>
      </c>
      <c r="W122">
        <v>46500</v>
      </c>
      <c r="X122">
        <f t="shared" si="19"/>
        <v>46500</v>
      </c>
      <c r="Y122" t="str">
        <f t="shared" si="20"/>
        <v>Médio</v>
      </c>
      <c r="Z122" t="str">
        <f>IF(AND(Y122="Alto",S122="Sim"),"Negada","Aprovada")</f>
        <v>Aprovada</v>
      </c>
      <c r="AA122" t="str">
        <f t="shared" si="21"/>
        <v>Negada</v>
      </c>
      <c r="AB122" t="str">
        <f>IF(AND(Z122="Negada",AA122="Negada"),"Já foi negado",IF(B122="Ativo",X122*8%,"Não liberado"))</f>
        <v>Não liberado</v>
      </c>
    </row>
    <row r="123" spans="1:28">
      <c r="A123" t="s">
        <v>88</v>
      </c>
      <c r="B123" t="str">
        <f t="shared" si="13"/>
        <v>Ativo</v>
      </c>
      <c r="C123" t="str">
        <f t="shared" si="14"/>
        <v>Thoros Clegane</v>
      </c>
      <c r="D123" s="15" t="s">
        <v>396</v>
      </c>
      <c r="E123" s="16" t="s">
        <v>397</v>
      </c>
      <c r="F123" s="16" t="str">
        <f t="shared" si="22"/>
        <v>000.000.141-00</v>
      </c>
      <c r="G123">
        <v>28</v>
      </c>
      <c r="H123">
        <f t="shared" ca="1" si="23"/>
        <v>28</v>
      </c>
      <c r="I123" s="12">
        <v>35993</v>
      </c>
      <c r="J123" t="s">
        <v>113</v>
      </c>
      <c r="K123" t="str">
        <f t="shared" si="15"/>
        <v>Lannisporto</v>
      </c>
      <c r="L123" t="s">
        <v>117</v>
      </c>
      <c r="M123" t="str" cm="1">
        <f t="array" ref="M123">PROPER(IF(L123&lt;&gt;"",L123,_xlfn.XLOOKUP(1,($K$2:$K$398=K123)*($L$2:$L$398&lt;&gt;""),$L$2:$L$398,"")))</f>
        <v>Oeste</v>
      </c>
      <c r="N123" s="13">
        <v>13400</v>
      </c>
      <c r="O123">
        <f t="shared" si="24"/>
        <v>13400</v>
      </c>
      <c r="P123" s="13">
        <v>54000</v>
      </c>
      <c r="Q123" s="17">
        <f t="shared" si="16"/>
        <v>54000</v>
      </c>
      <c r="R123" t="s">
        <v>49</v>
      </c>
      <c r="S123" t="str">
        <f t="shared" si="17"/>
        <v>Não</v>
      </c>
      <c r="T123">
        <v>15</v>
      </c>
      <c r="U123">
        <f t="shared" si="18"/>
        <v>15</v>
      </c>
      <c r="V123" t="s">
        <v>49</v>
      </c>
      <c r="W123">
        <v>99000</v>
      </c>
      <c r="X123">
        <f t="shared" si="19"/>
        <v>99000</v>
      </c>
      <c r="Y123" t="str">
        <f t="shared" si="20"/>
        <v>Médio</v>
      </c>
      <c r="Z123" t="str">
        <f>IF(AND(Y123="Alto",S123="Sim"),"Negada","Aprovada")</f>
        <v>Aprovada</v>
      </c>
      <c r="AA123" t="str">
        <f t="shared" si="21"/>
        <v>Aprovada</v>
      </c>
      <c r="AB123">
        <f>IF(AND(Z123="Negada",AA123="Negada"),"Já foi negado",IF(B123="Ativo",X123*8%,"Não liberado"))</f>
        <v>7920</v>
      </c>
    </row>
    <row r="124" spans="1:28">
      <c r="A124" t="s">
        <v>88</v>
      </c>
      <c r="B124" t="str">
        <f t="shared" si="13"/>
        <v>Ativo</v>
      </c>
      <c r="C124" t="str">
        <f t="shared" si="14"/>
        <v>Theon Baratheon</v>
      </c>
      <c r="D124" s="15" t="s">
        <v>398</v>
      </c>
      <c r="E124" s="16" t="s">
        <v>399</v>
      </c>
      <c r="F124" s="16" t="str">
        <f t="shared" si="22"/>
        <v>000.000.375-00</v>
      </c>
      <c r="G124">
        <v>26</v>
      </c>
      <c r="H124">
        <f t="shared" ca="1" si="23"/>
        <v>26</v>
      </c>
      <c r="I124" s="12">
        <v>36622</v>
      </c>
      <c r="J124" t="s">
        <v>193</v>
      </c>
      <c r="K124" t="str">
        <f t="shared" si="15"/>
        <v>Dorne</v>
      </c>
      <c r="L124" t="s">
        <v>193</v>
      </c>
      <c r="M124" t="str" cm="1">
        <f t="array" ref="M124">PROPER(IF(L124&lt;&gt;"",L124,_xlfn.XLOOKUP(1,($K$2:$K$398=K124)*($L$2:$L$398&lt;&gt;""),$L$2:$L$398,"")))</f>
        <v>Dorne</v>
      </c>
      <c r="N124" t="s">
        <v>400</v>
      </c>
      <c r="O124">
        <f t="shared" si="24"/>
        <v>22900</v>
      </c>
      <c r="P124" s="13">
        <v>65500</v>
      </c>
      <c r="Q124" s="17">
        <f t="shared" si="16"/>
        <v>65500</v>
      </c>
      <c r="R124" t="s">
        <v>401</v>
      </c>
      <c r="S124" t="str">
        <f t="shared" si="17"/>
        <v>Sim</v>
      </c>
      <c r="T124">
        <v>40</v>
      </c>
      <c r="U124">
        <f t="shared" si="18"/>
        <v>40</v>
      </c>
      <c r="V124" t="s">
        <v>401</v>
      </c>
      <c r="W124">
        <v>95500</v>
      </c>
      <c r="X124">
        <f t="shared" si="19"/>
        <v>95500</v>
      </c>
      <c r="Y124" t="str">
        <f t="shared" si="20"/>
        <v>Alto</v>
      </c>
      <c r="Z124" t="str">
        <f>IF(AND(Y124="Alto",S124="Sim"),"Negada","Aprovada")</f>
        <v>Negada</v>
      </c>
      <c r="AA124" t="str">
        <f t="shared" si="21"/>
        <v>Negada</v>
      </c>
      <c r="AB124" t="str">
        <f>IF(AND(Z124="Negada",AA124="Negada"),"Já foi negado",IF(B124="Ativo",X124*8%,"Não liberado"))</f>
        <v>Já foi negado</v>
      </c>
    </row>
    <row r="125" spans="1:28">
      <c r="A125" t="s">
        <v>88</v>
      </c>
      <c r="B125" t="str">
        <f t="shared" si="13"/>
        <v>Ativo</v>
      </c>
      <c r="C125" t="str">
        <f t="shared" si="14"/>
        <v>Melisandre  Baelish</v>
      </c>
      <c r="D125" s="15" t="s">
        <v>402</v>
      </c>
      <c r="E125" s="16" t="s">
        <v>403</v>
      </c>
      <c r="F125" s="16" t="str">
        <f t="shared" si="22"/>
        <v>000.000.152-00</v>
      </c>
      <c r="G125">
        <v>69</v>
      </c>
      <c r="H125">
        <f t="shared" ca="1" si="23"/>
        <v>69</v>
      </c>
      <c r="I125" s="12">
        <v>21051</v>
      </c>
      <c r="J125" t="s">
        <v>95</v>
      </c>
      <c r="K125" t="str">
        <f t="shared" si="15"/>
        <v>Ponta Tempestade</v>
      </c>
      <c r="L125" t="s">
        <v>96</v>
      </c>
      <c r="M125" t="str" cm="1">
        <f t="array" ref="M125">PROPER(IF(L125&lt;&gt;"",L125,_xlfn.XLOOKUP(1,($K$2:$K$398=K125)*($L$2:$L$398&lt;&gt;""),$L$2:$L$398,"")))</f>
        <v>Terras Da Tempestade</v>
      </c>
      <c r="N125" t="s">
        <v>404</v>
      </c>
      <c r="O125">
        <f t="shared" si="24"/>
        <v>25100</v>
      </c>
      <c r="P125">
        <v>40500</v>
      </c>
      <c r="Q125" s="17">
        <f t="shared" si="16"/>
        <v>40500</v>
      </c>
      <c r="R125" t="s">
        <v>49</v>
      </c>
      <c r="S125" t="str">
        <f t="shared" si="17"/>
        <v>Não</v>
      </c>
      <c r="T125">
        <v>43</v>
      </c>
      <c r="U125">
        <f t="shared" si="18"/>
        <v>43</v>
      </c>
      <c r="V125" t="s">
        <v>49</v>
      </c>
      <c r="W125">
        <v>24500</v>
      </c>
      <c r="X125">
        <f t="shared" si="19"/>
        <v>24500</v>
      </c>
      <c r="Y125" t="str">
        <f t="shared" si="20"/>
        <v>Alto</v>
      </c>
      <c r="Z125" t="str">
        <f>IF(AND(Y125="Alto",S125="Sim"),"Negada","Aprovada")</f>
        <v>Aprovada</v>
      </c>
      <c r="AA125" t="str">
        <f t="shared" si="21"/>
        <v>Aprovada</v>
      </c>
      <c r="AB125">
        <f>IF(AND(Z125="Negada",AA125="Negada"),"Já foi negado",IF(B125="Ativo",X125*8%,"Não liberado"))</f>
        <v>1960</v>
      </c>
    </row>
    <row r="126" spans="1:28">
      <c r="A126" t="s">
        <v>88</v>
      </c>
      <c r="B126" t="str">
        <f t="shared" si="13"/>
        <v>Ativo</v>
      </c>
      <c r="C126" t="str">
        <f t="shared" si="14"/>
        <v>Robert Yronwood</v>
      </c>
      <c r="D126" s="15" t="s">
        <v>405</v>
      </c>
      <c r="E126" s="16" t="s">
        <v>406</v>
      </c>
      <c r="F126" s="16" t="str">
        <f t="shared" si="22"/>
        <v>000.000.075-00</v>
      </c>
      <c r="G126">
        <v>67</v>
      </c>
      <c r="H126">
        <f t="shared" ca="1" si="23"/>
        <v>67</v>
      </c>
      <c r="I126" s="12">
        <v>21624</v>
      </c>
      <c r="J126" t="s">
        <v>179</v>
      </c>
      <c r="K126" t="str">
        <f t="shared" si="15"/>
        <v>Winterfell</v>
      </c>
      <c r="L126" t="s">
        <v>164</v>
      </c>
      <c r="M126" t="str" cm="1">
        <f t="array" ref="M126">PROPER(IF(L126&lt;&gt;"",L126,_xlfn.XLOOKUP(1,($K$2:$K$398=K126)*($L$2:$L$398&lt;&gt;""),$L$2:$L$398,"")))</f>
        <v>Norte</v>
      </c>
      <c r="N126">
        <v>8500</v>
      </c>
      <c r="O126">
        <f t="shared" si="24"/>
        <v>8500</v>
      </c>
      <c r="P126" s="13">
        <v>39500</v>
      </c>
      <c r="Q126" s="17">
        <f t="shared" si="16"/>
        <v>39500</v>
      </c>
      <c r="R126" t="s">
        <v>50</v>
      </c>
      <c r="S126" t="str">
        <f t="shared" si="17"/>
        <v>Sim</v>
      </c>
      <c r="U126">
        <f t="shared" si="18"/>
        <v>0</v>
      </c>
      <c r="V126" t="s">
        <v>50</v>
      </c>
      <c r="W126">
        <v>42000</v>
      </c>
      <c r="X126">
        <f t="shared" si="19"/>
        <v>42000</v>
      </c>
      <c r="Y126" t="str">
        <f t="shared" si="20"/>
        <v>Baixo</v>
      </c>
      <c r="Z126" t="str">
        <f>IF(AND(Y126="Alto",S126="Sim"),"Negada","Aprovada")</f>
        <v>Aprovada</v>
      </c>
      <c r="AA126" t="str">
        <f t="shared" si="21"/>
        <v>Aprovada</v>
      </c>
      <c r="AB126">
        <f>IF(AND(Z126="Negada",AA126="Negada"),"Já foi negado",IF(B126="Ativo",X126*8%,"Não liberado"))</f>
        <v>3360</v>
      </c>
    </row>
    <row r="127" spans="1:28">
      <c r="A127" t="s">
        <v>88</v>
      </c>
      <c r="B127" t="str">
        <f t="shared" si="13"/>
        <v>Ativo</v>
      </c>
      <c r="C127" t="str">
        <f t="shared" si="14"/>
        <v>Meera Reed</v>
      </c>
      <c r="D127" s="15" t="s">
        <v>407</v>
      </c>
      <c r="E127" s="16" t="s">
        <v>408</v>
      </c>
      <c r="F127" s="16" t="str">
        <f t="shared" si="22"/>
        <v>000.000.314-00</v>
      </c>
      <c r="G127">
        <v>53</v>
      </c>
      <c r="H127">
        <f t="shared" ca="1" si="23"/>
        <v>53</v>
      </c>
      <c r="I127" s="12">
        <v>26584</v>
      </c>
      <c r="J127" t="s">
        <v>171</v>
      </c>
      <c r="K127" t="str">
        <f t="shared" si="15"/>
        <v>Fosso Cailin</v>
      </c>
      <c r="L127" t="s">
        <v>151</v>
      </c>
      <c r="M127" t="str" cm="1">
        <f t="array" ref="M127">PROPER(IF(L127&lt;&gt;"",L127,_xlfn.XLOOKUP(1,($K$2:$K$398=K127)*($L$2:$L$398&lt;&gt;""),$L$2:$L$398,"")))</f>
        <v>Norte</v>
      </c>
      <c r="N127">
        <v>12200</v>
      </c>
      <c r="O127">
        <f t="shared" si="24"/>
        <v>12200</v>
      </c>
      <c r="P127" s="13">
        <v>79500</v>
      </c>
      <c r="Q127" s="17">
        <f t="shared" si="16"/>
        <v>79500</v>
      </c>
      <c r="R127" t="s">
        <v>200</v>
      </c>
      <c r="S127" t="str">
        <f t="shared" si="17"/>
        <v>Não</v>
      </c>
      <c r="T127">
        <v>45</v>
      </c>
      <c r="U127">
        <f t="shared" si="18"/>
        <v>45</v>
      </c>
      <c r="V127" t="s">
        <v>200</v>
      </c>
      <c r="W127">
        <v>57000</v>
      </c>
      <c r="X127">
        <f t="shared" si="19"/>
        <v>57000</v>
      </c>
      <c r="Y127" t="str">
        <f t="shared" si="20"/>
        <v>Alto</v>
      </c>
      <c r="Z127" t="str">
        <f>IF(AND(Y127="Alto",S127="Sim"),"Negada","Aprovada")</f>
        <v>Aprovada</v>
      </c>
      <c r="AA127" t="str">
        <f t="shared" si="21"/>
        <v>Aprovada</v>
      </c>
      <c r="AB127">
        <f>IF(AND(Z127="Negada",AA127="Negada"),"Já foi negado",IF(B127="Ativo",X127*8%,"Não liberado"))</f>
        <v>4560</v>
      </c>
    </row>
    <row r="128" spans="1:28">
      <c r="A128" t="s">
        <v>88</v>
      </c>
      <c r="B128" t="str">
        <f t="shared" si="13"/>
        <v>Ativo</v>
      </c>
      <c r="C128" t="str">
        <f t="shared" si="14"/>
        <v>Tormund Royce</v>
      </c>
      <c r="D128" s="15" t="s">
        <v>409</v>
      </c>
      <c r="E128" s="16" t="s">
        <v>410</v>
      </c>
      <c r="F128" s="16" t="str">
        <f t="shared" si="22"/>
        <v>000.000.297-00</v>
      </c>
      <c r="G128">
        <v>55</v>
      </c>
      <c r="H128">
        <f t="shared" ca="1" si="23"/>
        <v>55</v>
      </c>
      <c r="I128" s="12">
        <v>25880</v>
      </c>
      <c r="J128" t="s">
        <v>95</v>
      </c>
      <c r="K128" t="str">
        <f t="shared" si="15"/>
        <v>Ponta Tempestade</v>
      </c>
      <c r="L128" t="s">
        <v>96</v>
      </c>
      <c r="M128" t="str" cm="1">
        <f t="array" ref="M128">PROPER(IF(L128&lt;&gt;"",L128,_xlfn.XLOOKUP(1,($K$2:$K$398=K128)*($L$2:$L$398&lt;&gt;""),$L$2:$L$398,"")))</f>
        <v>Terras Da Tempestade</v>
      </c>
      <c r="N128">
        <v>27500</v>
      </c>
      <c r="O128">
        <f t="shared" si="24"/>
        <v>27500</v>
      </c>
      <c r="P128">
        <v>14000</v>
      </c>
      <c r="Q128" s="17">
        <f t="shared" si="16"/>
        <v>14000</v>
      </c>
      <c r="R128" t="s">
        <v>49</v>
      </c>
      <c r="S128" t="str">
        <f t="shared" si="17"/>
        <v>Não</v>
      </c>
      <c r="T128">
        <v>3</v>
      </c>
      <c r="U128">
        <f t="shared" si="18"/>
        <v>3</v>
      </c>
      <c r="V128" t="s">
        <v>49</v>
      </c>
      <c r="W128">
        <v>11500</v>
      </c>
      <c r="X128">
        <f t="shared" si="19"/>
        <v>11500</v>
      </c>
      <c r="Y128" t="str">
        <f t="shared" si="20"/>
        <v>Baixo</v>
      </c>
      <c r="Z128" t="str">
        <f>IF(AND(Y128="Alto",S128="Sim"),"Negada","Aprovada")</f>
        <v>Aprovada</v>
      </c>
      <c r="AA128" t="str">
        <f t="shared" si="21"/>
        <v>Aprovada</v>
      </c>
      <c r="AB128">
        <f>IF(AND(Z128="Negada",AA128="Negada"),"Já foi negado",IF(B128="Ativo",X128*8%,"Não liberado"))</f>
        <v>920</v>
      </c>
    </row>
    <row r="129" spans="1:28">
      <c r="A129" t="s">
        <v>88</v>
      </c>
      <c r="B129" t="str">
        <f t="shared" si="13"/>
        <v>Ativo</v>
      </c>
      <c r="C129" t="str">
        <f t="shared" si="14"/>
        <v>Rickon Karstark</v>
      </c>
      <c r="D129" s="15" t="s">
        <v>346</v>
      </c>
      <c r="E129" s="16">
        <v>8900</v>
      </c>
      <c r="F129" s="16" t="str">
        <f t="shared" si="22"/>
        <v>000.000.089-00</v>
      </c>
      <c r="H129">
        <f t="shared" ca="1" si="23"/>
        <v>35</v>
      </c>
      <c r="I129" s="12">
        <v>33473</v>
      </c>
      <c r="J129" t="s">
        <v>254</v>
      </c>
      <c r="K129" t="str">
        <f t="shared" si="15"/>
        <v>Atalaia da �gua Cinzenta</v>
      </c>
      <c r="L129" t="s">
        <v>255</v>
      </c>
      <c r="M129" t="str" cm="1">
        <f t="array" ref="M129">PROPER(IF(L129&lt;&gt;"",L129,_xlfn.XLOOKUP(1,($K$2:$K$398=K129)*($L$2:$L$398&lt;&gt;""),$L$2:$L$398,"")))</f>
        <v>Gargalo</v>
      </c>
      <c r="N129">
        <v>24000</v>
      </c>
      <c r="O129">
        <f t="shared" si="24"/>
        <v>24000</v>
      </c>
      <c r="P129">
        <v>0</v>
      </c>
      <c r="Q129" s="17">
        <f t="shared" si="16"/>
        <v>0</v>
      </c>
      <c r="R129" t="s">
        <v>50</v>
      </c>
      <c r="S129" t="str">
        <f t="shared" si="17"/>
        <v>Sim</v>
      </c>
      <c r="T129">
        <v>3</v>
      </c>
      <c r="U129">
        <f t="shared" si="18"/>
        <v>3</v>
      </c>
      <c r="V129" t="s">
        <v>50</v>
      </c>
      <c r="W129">
        <v>60000</v>
      </c>
      <c r="X129">
        <f t="shared" si="19"/>
        <v>60000</v>
      </c>
      <c r="Y129" t="str">
        <f t="shared" si="20"/>
        <v>Baixo</v>
      </c>
      <c r="Z129" t="str">
        <f>IF(AND(Y129="Alto",S129="Sim"),"Negada","Aprovada")</f>
        <v>Aprovada</v>
      </c>
      <c r="AA129" t="str">
        <f t="shared" si="21"/>
        <v>Aprovada</v>
      </c>
      <c r="AB129">
        <f>IF(AND(Z129="Negada",AA129="Negada"),"Já foi negado",IF(B129="Ativo",X129*8%,"Não liberado"))</f>
        <v>4800</v>
      </c>
    </row>
    <row r="130" spans="1:28">
      <c r="A130" t="s">
        <v>93</v>
      </c>
      <c r="B130" t="str">
        <f t="shared" si="13"/>
        <v>Inativo</v>
      </c>
      <c r="C130" t="str">
        <f t="shared" si="14"/>
        <v>Podrick Blackwood</v>
      </c>
      <c r="D130" s="15" t="s">
        <v>287</v>
      </c>
      <c r="E130" s="16">
        <v>8300</v>
      </c>
      <c r="F130" s="16" t="str">
        <f t="shared" si="22"/>
        <v>000.000.083-00</v>
      </c>
      <c r="G130">
        <v>31</v>
      </c>
      <c r="H130">
        <f t="shared" ca="1" si="23"/>
        <v>31</v>
      </c>
      <c r="I130" s="12">
        <v>34828</v>
      </c>
      <c r="J130" t="s">
        <v>234</v>
      </c>
      <c r="K130" t="str">
        <f t="shared" si="15"/>
        <v>Porto Real</v>
      </c>
      <c r="L130" t="s">
        <v>101</v>
      </c>
      <c r="M130" t="str" cm="1">
        <f t="array" ref="M130">PROPER(IF(L130&lt;&gt;"",L130,_xlfn.XLOOKUP(1,($K$2:$K$398=K130)*($L$2:$L$398&lt;&gt;""),$L$2:$L$398,"")))</f>
        <v>Terras Da Coroa</v>
      </c>
      <c r="N130" s="14">
        <v>24900</v>
      </c>
      <c r="O130">
        <f t="shared" si="24"/>
        <v>24900</v>
      </c>
      <c r="P130">
        <v>72000</v>
      </c>
      <c r="Q130" s="17">
        <f t="shared" si="16"/>
        <v>72000</v>
      </c>
      <c r="R130" t="s">
        <v>49</v>
      </c>
      <c r="S130" t="str">
        <f t="shared" si="17"/>
        <v>Não</v>
      </c>
      <c r="T130">
        <v>35</v>
      </c>
      <c r="U130">
        <f t="shared" si="18"/>
        <v>35</v>
      </c>
      <c r="V130" t="s">
        <v>49</v>
      </c>
      <c r="W130">
        <v>79000</v>
      </c>
      <c r="X130">
        <f t="shared" si="19"/>
        <v>79000</v>
      </c>
      <c r="Y130" t="str">
        <f t="shared" si="20"/>
        <v>Alto</v>
      </c>
      <c r="Z130" t="str">
        <f>IF(AND(Y130="Alto",S130="Sim"),"Negada","Aprovada")</f>
        <v>Aprovada</v>
      </c>
      <c r="AA130" t="str">
        <f t="shared" si="21"/>
        <v>Aprovada</v>
      </c>
      <c r="AB130" t="str">
        <f>IF(AND(Z130="Negada",AA130="Negada"),"Já foi negado",IF(B130="Ativo",X130*8%,"Não liberado"))</f>
        <v>Não liberado</v>
      </c>
    </row>
    <row r="131" spans="1:28">
      <c r="A131" t="s">
        <v>88</v>
      </c>
      <c r="B131" t="str">
        <f t="shared" ref="B131:B194" si="25">IF(A131="","Não informado",IF(OR(A131="Ativoo",A131="ATIVO",A131="ativo"),"Ativo",IF(OR(A131="Loqueado",A131="Bloqueado"),"Bloqueado",PROPER(A131))))</f>
        <v>Ativo</v>
      </c>
      <c r="C131" t="str">
        <f t="shared" ref="C131:C194" si="26">PROPER(D131)</f>
        <v>Tyrion Karstark</v>
      </c>
      <c r="D131" s="15" t="s">
        <v>411</v>
      </c>
      <c r="E131" s="16">
        <v>3800</v>
      </c>
      <c r="F131" s="16" t="str">
        <f t="shared" si="22"/>
        <v>000.000.038-00</v>
      </c>
      <c r="G131">
        <v>41</v>
      </c>
      <c r="H131">
        <f t="shared" ca="1" si="23"/>
        <v>41</v>
      </c>
      <c r="I131" s="12">
        <v>30992</v>
      </c>
      <c r="J131" t="s">
        <v>113</v>
      </c>
      <c r="K131" t="str">
        <f t="shared" ref="K131:K194" si="27">IFERROR(TRIM(_xlfn.TEXTBEFORE(J131,"|")),J131)</f>
        <v>Lannisporto</v>
      </c>
      <c r="L131" t="s">
        <v>412</v>
      </c>
      <c r="M131" t="str" cm="1">
        <f t="array" ref="M131">PROPER(IF(L131&lt;&gt;"",L131,_xlfn.XLOOKUP(1,($K$2:$K$398=K131)*($L$2:$L$398&lt;&gt;""),$L$2:$L$398,"")))</f>
        <v>Oeste</v>
      </c>
      <c r="N131" s="14">
        <v>28600</v>
      </c>
      <c r="O131">
        <f t="shared" si="24"/>
        <v>28600</v>
      </c>
      <c r="P131" s="13">
        <v>67500</v>
      </c>
      <c r="Q131" s="17">
        <f t="shared" ref="Q131:Q194" si="28">IF(P131="N/A","Não informado",IFERROR(VALUE(SUBSTITUTE(SUBSTITUTE(P131,"R$ ","")," moedas","")),P131))</f>
        <v>67500</v>
      </c>
      <c r="R131" t="s">
        <v>49</v>
      </c>
      <c r="S131" t="str">
        <f t="shared" ref="S131:S194" si="29">IF(OR(R131="Sim",R131="SIM",R131="sim",R131=1,R131="1"),"Sim",IF(OR(R131="Não",R131="Nao",R131="NÃO",R131="nao",R131=0,R131="0"),"Não","Não informado"))</f>
        <v>Não</v>
      </c>
      <c r="T131">
        <v>39</v>
      </c>
      <c r="U131">
        <f t="shared" ref="U131:U194" si="30">IFERROR(VALUE(SUBSTITUTE(T131," batalhas","")),T131)</f>
        <v>39</v>
      </c>
      <c r="V131" t="s">
        <v>49</v>
      </c>
      <c r="W131">
        <v>22000</v>
      </c>
      <c r="X131">
        <f t="shared" ref="X131:X194" si="31">IFERROR(VALUE(SUBSTITUTE(SUBSTITUTE(W131,"R$ ","")," moedas","")),W131)</f>
        <v>22000</v>
      </c>
      <c r="Y131" t="str">
        <f t="shared" ref="Y131:Y194" si="32">IF(U131&lt;=10,"Baixo",IF(U131&lt;=25,"Médio","Alto"))</f>
        <v>Alto</v>
      </c>
      <c r="Z131" t="str">
        <f>IF(AND(Y131="Alto",S131="Sim"),"Negada","Aprovada")</f>
        <v>Aprovada</v>
      </c>
      <c r="AA131" t="str">
        <f t="shared" ref="AA131:AA194" si="33">IF(AND(Q131&gt;50000,S131="Sim"),"Negada","Aprovada")</f>
        <v>Aprovada</v>
      </c>
      <c r="AB131">
        <f>IF(AND(Z131="Negada",AA131="Negada"),"Já foi negado",IF(B131="Ativo",X131*8%,"Não liberado"))</f>
        <v>1760</v>
      </c>
    </row>
    <row r="132" spans="1:28">
      <c r="A132" t="s">
        <v>88</v>
      </c>
      <c r="B132" t="str">
        <f t="shared" si="25"/>
        <v>Ativo</v>
      </c>
      <c r="C132" t="str">
        <f t="shared" si="26"/>
        <v>Missandei Florent</v>
      </c>
      <c r="D132" s="15" t="s">
        <v>413</v>
      </c>
      <c r="E132" s="16" t="s">
        <v>414</v>
      </c>
      <c r="F132" s="16" t="str">
        <f t="shared" ref="F132:F195" si="34">TEXT(E132,"000\.000\.000\-00")</f>
        <v>000.000.282-00</v>
      </c>
      <c r="G132">
        <v>56</v>
      </c>
      <c r="H132">
        <f t="shared" ca="1" si="23"/>
        <v>56</v>
      </c>
      <c r="I132" s="12">
        <v>25671</v>
      </c>
      <c r="J132" t="s">
        <v>178</v>
      </c>
      <c r="K132" t="str">
        <f t="shared" si="27"/>
        <v>Harrenhal</v>
      </c>
      <c r="L132" t="s">
        <v>148</v>
      </c>
      <c r="M132" t="str" cm="1">
        <f t="array" ref="M132">PROPER(IF(L132&lt;&gt;"",L132,_xlfn.XLOOKUP(1,($K$2:$K$398=K132)*($L$2:$L$398&lt;&gt;""),$L$2:$L$398,"")))</f>
        <v>Terras Fluviais</v>
      </c>
      <c r="N132">
        <v>28300</v>
      </c>
      <c r="O132">
        <f t="shared" si="24"/>
        <v>28300</v>
      </c>
      <c r="P132">
        <v>56000</v>
      </c>
      <c r="Q132" s="17">
        <f t="shared" si="28"/>
        <v>56000</v>
      </c>
      <c r="R132" t="s">
        <v>49</v>
      </c>
      <c r="S132" t="str">
        <f t="shared" si="29"/>
        <v>Não</v>
      </c>
      <c r="T132">
        <v>6</v>
      </c>
      <c r="U132">
        <f t="shared" si="30"/>
        <v>6</v>
      </c>
      <c r="V132" t="s">
        <v>49</v>
      </c>
      <c r="W132">
        <v>77000</v>
      </c>
      <c r="X132">
        <f t="shared" si="31"/>
        <v>77000</v>
      </c>
      <c r="Y132" t="str">
        <f t="shared" si="32"/>
        <v>Baixo</v>
      </c>
      <c r="Z132" t="str">
        <f>IF(AND(Y132="Alto",S132="Sim"),"Negada","Aprovada")</f>
        <v>Aprovada</v>
      </c>
      <c r="AA132" t="str">
        <f t="shared" si="33"/>
        <v>Aprovada</v>
      </c>
      <c r="AB132">
        <f>IF(AND(Z132="Negada",AA132="Negada"),"Já foi negado",IF(B132="Ativo",X132*8%,"Não liberado"))</f>
        <v>6160</v>
      </c>
    </row>
    <row r="133" spans="1:28">
      <c r="A133" t="s">
        <v>88</v>
      </c>
      <c r="B133" t="str">
        <f t="shared" si="25"/>
        <v>Ativo</v>
      </c>
      <c r="C133" t="str">
        <f t="shared" si="26"/>
        <v>Varys  Stark</v>
      </c>
      <c r="D133" s="15" t="s">
        <v>415</v>
      </c>
      <c r="E133" s="16">
        <v>37700</v>
      </c>
      <c r="F133" s="16" t="str">
        <f t="shared" si="34"/>
        <v>000.000.377-00</v>
      </c>
      <c r="G133">
        <v>23</v>
      </c>
      <c r="H133">
        <f t="shared" ref="H133:H196" ca="1" si="35">IF(OR(I133="",I133="N/A"),"N/A",DATEDIF(I133,TODAY(),"Y"))</f>
        <v>23</v>
      </c>
      <c r="I133" s="12">
        <v>37566</v>
      </c>
      <c r="J133" t="s">
        <v>136</v>
      </c>
      <c r="K133" t="str">
        <f t="shared" si="27"/>
        <v>Braavos</v>
      </c>
      <c r="L133" t="s">
        <v>267</v>
      </c>
      <c r="M133" t="str" cm="1">
        <f t="array" ref="M133">PROPER(IF(L133&lt;&gt;"",L133,_xlfn.XLOOKUP(1,($K$2:$K$398=K133)*($L$2:$L$398&lt;&gt;""),$L$2:$L$398,"")))</f>
        <v>Essos</v>
      </c>
      <c r="N133">
        <v>2600</v>
      </c>
      <c r="O133">
        <f t="shared" si="24"/>
        <v>2600</v>
      </c>
      <c r="P133">
        <v>0</v>
      </c>
      <c r="Q133" s="17">
        <f t="shared" si="28"/>
        <v>0</v>
      </c>
      <c r="R133" t="s">
        <v>50</v>
      </c>
      <c r="S133" t="str">
        <f t="shared" si="29"/>
        <v>Sim</v>
      </c>
      <c r="T133">
        <v>30</v>
      </c>
      <c r="U133">
        <f t="shared" si="30"/>
        <v>30</v>
      </c>
      <c r="V133" t="s">
        <v>50</v>
      </c>
      <c r="W133">
        <v>11000</v>
      </c>
      <c r="X133">
        <f t="shared" si="31"/>
        <v>11000</v>
      </c>
      <c r="Y133" t="str">
        <f t="shared" si="32"/>
        <v>Alto</v>
      </c>
      <c r="Z133" t="str">
        <f>IF(AND(Y133="Alto",S133="Sim"),"Negada","Aprovada")</f>
        <v>Negada</v>
      </c>
      <c r="AA133" t="str">
        <f t="shared" si="33"/>
        <v>Aprovada</v>
      </c>
      <c r="AB133">
        <f>IF(AND(Z133="Negada",AA133="Negada"),"Já foi negado",IF(B133="Ativo",X133*8%,"Não liberado"))</f>
        <v>880</v>
      </c>
    </row>
    <row r="134" spans="1:28">
      <c r="A134" t="s">
        <v>88</v>
      </c>
      <c r="B134" t="str">
        <f t="shared" si="25"/>
        <v>Ativo</v>
      </c>
      <c r="C134" t="str">
        <f t="shared" si="26"/>
        <v>Jeor Karstark</v>
      </c>
      <c r="D134" s="15" t="s">
        <v>416</v>
      </c>
      <c r="E134" s="16" t="s">
        <v>417</v>
      </c>
      <c r="F134" s="16" t="str">
        <f t="shared" si="34"/>
        <v>000.000.310-00</v>
      </c>
      <c r="G134">
        <v>25</v>
      </c>
      <c r="H134">
        <f t="shared" ca="1" si="35"/>
        <v>25</v>
      </c>
      <c r="I134" s="12">
        <v>37137</v>
      </c>
      <c r="J134" t="s">
        <v>91</v>
      </c>
      <c r="K134" t="str">
        <f t="shared" si="27"/>
        <v>Ninho da Águia</v>
      </c>
      <c r="L134" t="s">
        <v>92</v>
      </c>
      <c r="M134" t="str" cm="1">
        <f t="array" ref="M134">PROPER(IF(L134&lt;&gt;"",L134,_xlfn.XLOOKUP(1,($K$2:$K$398=K134)*($L$2:$L$398&lt;&gt;""),$L$2:$L$398,"")))</f>
        <v>Vale</v>
      </c>
      <c r="O134" t="str">
        <f t="shared" si="24"/>
        <v>Não informado</v>
      </c>
      <c r="P134" s="14">
        <v>21000</v>
      </c>
      <c r="Q134" s="17">
        <f t="shared" si="28"/>
        <v>21000</v>
      </c>
      <c r="R134" t="s">
        <v>49</v>
      </c>
      <c r="S134" t="str">
        <f t="shared" si="29"/>
        <v>Não</v>
      </c>
      <c r="T134">
        <v>34</v>
      </c>
      <c r="U134">
        <f t="shared" si="30"/>
        <v>34</v>
      </c>
      <c r="V134" t="s">
        <v>49</v>
      </c>
      <c r="W134">
        <v>7500</v>
      </c>
      <c r="X134">
        <f t="shared" si="31"/>
        <v>7500</v>
      </c>
      <c r="Y134" t="str">
        <f t="shared" si="32"/>
        <v>Alto</v>
      </c>
      <c r="Z134" t="str">
        <f>IF(AND(Y134="Alto",S134="Sim"),"Negada","Aprovada")</f>
        <v>Aprovada</v>
      </c>
      <c r="AA134" t="str">
        <f t="shared" si="33"/>
        <v>Aprovada</v>
      </c>
      <c r="AB134">
        <f>IF(AND(Z134="Negada",AA134="Negada"),"Já foi negado",IF(B134="Ativo",X134*8%,"Não liberado"))</f>
        <v>600</v>
      </c>
    </row>
    <row r="135" spans="1:28">
      <c r="A135" t="s">
        <v>88</v>
      </c>
      <c r="B135" t="str">
        <f t="shared" si="25"/>
        <v>Ativo</v>
      </c>
      <c r="C135" t="str">
        <f t="shared" si="26"/>
        <v>Renly Mormont</v>
      </c>
      <c r="D135" s="15" t="s">
        <v>418</v>
      </c>
      <c r="E135" s="16" t="s">
        <v>419</v>
      </c>
      <c r="F135" s="16" t="str">
        <f t="shared" si="34"/>
        <v>000.000.376-00</v>
      </c>
      <c r="G135">
        <v>57</v>
      </c>
      <c r="H135">
        <f t="shared" ca="1" si="35"/>
        <v>57</v>
      </c>
      <c r="I135" s="12">
        <v>25199</v>
      </c>
      <c r="J135" t="s">
        <v>157</v>
      </c>
      <c r="K135" t="str">
        <f t="shared" si="27"/>
        <v>Vilavelha</v>
      </c>
      <c r="L135" t="s">
        <v>222</v>
      </c>
      <c r="M135" t="str" cm="1">
        <f t="array" ref="M135">PROPER(IF(L135&lt;&gt;"",L135,_xlfn.XLOOKUP(1,($K$2:$K$398=K135)*($L$2:$L$398&lt;&gt;""),$L$2:$L$398,"")))</f>
        <v>Campina</v>
      </c>
      <c r="N135" s="13">
        <v>20700</v>
      </c>
      <c r="O135">
        <f t="shared" si="24"/>
        <v>20700</v>
      </c>
      <c r="P135">
        <v>64500</v>
      </c>
      <c r="Q135" s="17">
        <f t="shared" si="28"/>
        <v>64500</v>
      </c>
      <c r="R135" t="s">
        <v>49</v>
      </c>
      <c r="S135" t="str">
        <f t="shared" si="29"/>
        <v>Não</v>
      </c>
      <c r="T135" t="s">
        <v>420</v>
      </c>
      <c r="U135">
        <f t="shared" si="30"/>
        <v>19</v>
      </c>
      <c r="V135" t="s">
        <v>49</v>
      </c>
      <c r="W135">
        <v>54500</v>
      </c>
      <c r="X135">
        <f t="shared" si="31"/>
        <v>54500</v>
      </c>
      <c r="Y135" t="str">
        <f t="shared" si="32"/>
        <v>Médio</v>
      </c>
      <c r="Z135" t="str">
        <f>IF(AND(Y135="Alto",S135="Sim"),"Negada","Aprovada")</f>
        <v>Aprovada</v>
      </c>
      <c r="AA135" t="str">
        <f t="shared" si="33"/>
        <v>Aprovada</v>
      </c>
      <c r="AB135">
        <f>IF(AND(Z135="Negada",AA135="Negada"),"Já foi negado",IF(B135="Ativo",X135*8%,"Não liberado"))</f>
        <v>4360</v>
      </c>
    </row>
    <row r="136" spans="1:28">
      <c r="A136" t="s">
        <v>88</v>
      </c>
      <c r="B136" t="str">
        <f t="shared" si="25"/>
        <v>Ativo</v>
      </c>
      <c r="C136" t="str">
        <f t="shared" si="26"/>
        <v>Eddard Royce</v>
      </c>
      <c r="D136" s="15" t="s">
        <v>421</v>
      </c>
      <c r="E136" s="16" t="s">
        <v>422</v>
      </c>
      <c r="F136" s="16" t="str">
        <f t="shared" si="34"/>
        <v>000.000.181-00</v>
      </c>
      <c r="G136">
        <v>73</v>
      </c>
      <c r="H136">
        <f t="shared" ca="1" si="35"/>
        <v>73</v>
      </c>
      <c r="I136" s="12">
        <v>19314</v>
      </c>
      <c r="J136" t="s">
        <v>100</v>
      </c>
      <c r="K136" t="str">
        <f t="shared" si="27"/>
        <v>Pedra do Dragão</v>
      </c>
      <c r="L136" t="s">
        <v>423</v>
      </c>
      <c r="M136" t="str" cm="1">
        <f t="array" ref="M136">PROPER(IF(L136&lt;&gt;"",L136,_xlfn.XLOOKUP(1,($K$2:$K$398=K136)*($L$2:$L$398&lt;&gt;""),$L$2:$L$398,"")))</f>
        <v>Terras Da Coroa</v>
      </c>
      <c r="N136">
        <v>6100</v>
      </c>
      <c r="O136">
        <f t="shared" si="24"/>
        <v>6100</v>
      </c>
      <c r="P136" t="s">
        <v>424</v>
      </c>
      <c r="Q136" s="17">
        <f t="shared" si="28"/>
        <v>16000</v>
      </c>
      <c r="R136" t="s">
        <v>49</v>
      </c>
      <c r="S136" t="str">
        <f t="shared" si="29"/>
        <v>Não</v>
      </c>
      <c r="T136">
        <v>9</v>
      </c>
      <c r="U136">
        <f t="shared" si="30"/>
        <v>9</v>
      </c>
      <c r="V136" t="s">
        <v>49</v>
      </c>
      <c r="W136">
        <v>24500</v>
      </c>
      <c r="X136">
        <f t="shared" si="31"/>
        <v>24500</v>
      </c>
      <c r="Y136" t="str">
        <f t="shared" si="32"/>
        <v>Baixo</v>
      </c>
      <c r="Z136" t="str">
        <f>IF(AND(Y136="Alto",S136="Sim"),"Negada","Aprovada")</f>
        <v>Aprovada</v>
      </c>
      <c r="AA136" t="str">
        <f t="shared" si="33"/>
        <v>Aprovada</v>
      </c>
      <c r="AB136">
        <f>IF(AND(Z136="Negada",AA136="Negada"),"Já foi negado",IF(B136="Ativo",X136*8%,"Não liberado"))</f>
        <v>1960</v>
      </c>
    </row>
    <row r="137" spans="1:28">
      <c r="A137" t="s">
        <v>88</v>
      </c>
      <c r="B137" t="str">
        <f t="shared" si="25"/>
        <v>Ativo</v>
      </c>
      <c r="C137" t="str">
        <f t="shared" si="26"/>
        <v>Rhaegar Lannister</v>
      </c>
      <c r="D137" s="15" t="s">
        <v>425</v>
      </c>
      <c r="E137" s="16">
        <v>37000</v>
      </c>
      <c r="F137" s="16" t="str">
        <f t="shared" si="34"/>
        <v>000.000.370-00</v>
      </c>
      <c r="G137">
        <v>24</v>
      </c>
      <c r="H137">
        <f t="shared" ca="1" si="35"/>
        <v>24</v>
      </c>
      <c r="I137" s="12">
        <v>37290</v>
      </c>
      <c r="J137" t="s">
        <v>182</v>
      </c>
      <c r="K137" t="str">
        <f t="shared" si="27"/>
        <v>Jardim de Cima</v>
      </c>
      <c r="L137" t="s">
        <v>227</v>
      </c>
      <c r="M137" t="str" cm="1">
        <f t="array" ref="M137">PROPER(IF(L137&lt;&gt;"",L137,_xlfn.XLOOKUP(1,($K$2:$K$398=K137)*($L$2:$L$398&lt;&gt;""),$L$2:$L$398,"")))</f>
        <v>Campina</v>
      </c>
      <c r="N137" s="13">
        <v>6400</v>
      </c>
      <c r="O137">
        <f t="shared" si="24"/>
        <v>6400</v>
      </c>
      <c r="P137" s="14">
        <v>41000</v>
      </c>
      <c r="Q137" s="17">
        <f t="shared" si="28"/>
        <v>41000</v>
      </c>
      <c r="R137" t="s">
        <v>49</v>
      </c>
      <c r="S137" t="str">
        <f t="shared" si="29"/>
        <v>Não</v>
      </c>
      <c r="T137">
        <v>22</v>
      </c>
      <c r="U137">
        <f t="shared" si="30"/>
        <v>22</v>
      </c>
      <c r="V137" t="s">
        <v>49</v>
      </c>
      <c r="W137">
        <v>74500</v>
      </c>
      <c r="X137">
        <f t="shared" si="31"/>
        <v>74500</v>
      </c>
      <c r="Y137" t="str">
        <f t="shared" si="32"/>
        <v>Médio</v>
      </c>
      <c r="Z137" t="str">
        <f>IF(AND(Y137="Alto",S137="Sim"),"Negada","Aprovada")</f>
        <v>Aprovada</v>
      </c>
      <c r="AA137" t="str">
        <f t="shared" si="33"/>
        <v>Aprovada</v>
      </c>
      <c r="AB137">
        <f>IF(AND(Z137="Negada",AA137="Negada"),"Já foi negado",IF(B137="Ativo",X137*8%,"Não liberado"))</f>
        <v>5960</v>
      </c>
    </row>
    <row r="138" spans="1:28">
      <c r="A138" t="s">
        <v>88</v>
      </c>
      <c r="B138" t="str">
        <f t="shared" si="25"/>
        <v>Ativo</v>
      </c>
      <c r="C138" t="str">
        <f t="shared" si="26"/>
        <v>Varys Blackwood</v>
      </c>
      <c r="D138" s="15" t="s">
        <v>426</v>
      </c>
      <c r="E138" s="16" t="s">
        <v>427</v>
      </c>
      <c r="F138" s="16" t="str">
        <f t="shared" si="34"/>
        <v>000.000.373-00</v>
      </c>
      <c r="G138">
        <v>47</v>
      </c>
      <c r="H138" t="str">
        <f t="shared" ca="1" si="35"/>
        <v>N/A</v>
      </c>
      <c r="J138" t="s">
        <v>136</v>
      </c>
      <c r="K138" t="str">
        <f t="shared" si="27"/>
        <v>Braavos</v>
      </c>
      <c r="M138" t="str" cm="1">
        <f t="array" ref="M138">PROPER(IF(L138&lt;&gt;"",L138,_xlfn.XLOOKUP(1,($K$2:$K$398=K138)*($L$2:$L$398&lt;&gt;""),$L$2:$L$398,"")))</f>
        <v>Essos</v>
      </c>
      <c r="N138" s="14">
        <v>11600</v>
      </c>
      <c r="O138">
        <f t="shared" si="24"/>
        <v>11600</v>
      </c>
      <c r="P138" s="14">
        <v>63500</v>
      </c>
      <c r="Q138" s="17">
        <f t="shared" si="28"/>
        <v>63500</v>
      </c>
      <c r="R138">
        <v>0</v>
      </c>
      <c r="S138" t="str">
        <f t="shared" si="29"/>
        <v>Não</v>
      </c>
      <c r="T138">
        <v>18</v>
      </c>
      <c r="U138">
        <f t="shared" si="30"/>
        <v>18</v>
      </c>
      <c r="V138">
        <v>0</v>
      </c>
      <c r="W138">
        <v>3000</v>
      </c>
      <c r="X138">
        <f t="shared" si="31"/>
        <v>3000</v>
      </c>
      <c r="Y138" t="str">
        <f t="shared" si="32"/>
        <v>Médio</v>
      </c>
      <c r="Z138" t="str">
        <f>IF(AND(Y138="Alto",S138="Sim"),"Negada","Aprovada")</f>
        <v>Aprovada</v>
      </c>
      <c r="AA138" t="str">
        <f t="shared" si="33"/>
        <v>Aprovada</v>
      </c>
      <c r="AB138">
        <f>IF(AND(Z138="Negada",AA138="Negada"),"Já foi negado",IF(B138="Ativo",X138*8%,"Não liberado"))</f>
        <v>240</v>
      </c>
    </row>
    <row r="139" spans="1:28">
      <c r="A139" t="s">
        <v>93</v>
      </c>
      <c r="B139" t="str">
        <f t="shared" si="25"/>
        <v>Inativo</v>
      </c>
      <c r="C139" t="str">
        <f t="shared" si="26"/>
        <v>Eddard Westerling</v>
      </c>
      <c r="D139" s="15" t="s">
        <v>428</v>
      </c>
      <c r="E139" s="16" t="s">
        <v>429</v>
      </c>
      <c r="F139" s="16" t="str">
        <f t="shared" si="34"/>
        <v>000.000.094-00</v>
      </c>
      <c r="G139">
        <v>52</v>
      </c>
      <c r="H139">
        <f t="shared" ca="1" si="35"/>
        <v>52</v>
      </c>
      <c r="I139" s="12">
        <v>27186</v>
      </c>
      <c r="J139" t="s">
        <v>95</v>
      </c>
      <c r="K139" t="str">
        <f t="shared" si="27"/>
        <v>Ponta Tempestade</v>
      </c>
      <c r="L139" t="s">
        <v>197</v>
      </c>
      <c r="M139" t="str" cm="1">
        <f t="array" ref="M139">PROPER(IF(L139&lt;&gt;"",L139,_xlfn.XLOOKUP(1,($K$2:$K$398=K139)*($L$2:$L$398&lt;&gt;""),$L$2:$L$398,"")))</f>
        <v>Terras Da Tempestade</v>
      </c>
      <c r="N139">
        <v>6400</v>
      </c>
      <c r="O139">
        <f t="shared" si="24"/>
        <v>6400</v>
      </c>
      <c r="P139">
        <v>37000</v>
      </c>
      <c r="Q139" s="17">
        <f t="shared" si="28"/>
        <v>37000</v>
      </c>
      <c r="R139" t="s">
        <v>49</v>
      </c>
      <c r="S139" t="str">
        <f t="shared" si="29"/>
        <v>Não</v>
      </c>
      <c r="T139">
        <v>1</v>
      </c>
      <c r="U139">
        <f t="shared" si="30"/>
        <v>1</v>
      </c>
      <c r="V139" t="s">
        <v>49</v>
      </c>
      <c r="W139">
        <v>87000</v>
      </c>
      <c r="X139">
        <f t="shared" si="31"/>
        <v>87000</v>
      </c>
      <c r="Y139" t="str">
        <f t="shared" si="32"/>
        <v>Baixo</v>
      </c>
      <c r="Z139" t="str">
        <f>IF(AND(Y139="Alto",S139="Sim"),"Negada","Aprovada")</f>
        <v>Aprovada</v>
      </c>
      <c r="AA139" t="str">
        <f t="shared" si="33"/>
        <v>Aprovada</v>
      </c>
      <c r="AB139" t="str">
        <f>IF(AND(Z139="Negada",AA139="Negada"),"Já foi negado",IF(B139="Ativo",X139*8%,"Não liberado"))</f>
        <v>Não liberado</v>
      </c>
    </row>
    <row r="140" spans="1:28">
      <c r="A140" t="s">
        <v>93</v>
      </c>
      <c r="B140" t="str">
        <f t="shared" si="25"/>
        <v>Inativo</v>
      </c>
      <c r="C140" t="str">
        <f t="shared" si="26"/>
        <v>Varys  Blackwood</v>
      </c>
      <c r="D140" s="15" t="s">
        <v>430</v>
      </c>
      <c r="E140" s="16">
        <v>26700</v>
      </c>
      <c r="F140" s="16" t="str">
        <f t="shared" si="34"/>
        <v>000.000.267-00</v>
      </c>
      <c r="G140">
        <v>54</v>
      </c>
      <c r="H140">
        <f t="shared" ca="1" si="35"/>
        <v>54</v>
      </c>
      <c r="I140" s="12">
        <v>26453</v>
      </c>
      <c r="J140" t="s">
        <v>254</v>
      </c>
      <c r="K140" t="str">
        <f t="shared" si="27"/>
        <v>Atalaia da �gua Cinzenta</v>
      </c>
      <c r="L140" t="s">
        <v>255</v>
      </c>
      <c r="M140" t="str" cm="1">
        <f t="array" ref="M140">PROPER(IF(L140&lt;&gt;"",L140,_xlfn.XLOOKUP(1,($K$2:$K$398=K140)*($L$2:$L$398&lt;&gt;""),$L$2:$L$398,"")))</f>
        <v>Gargalo</v>
      </c>
      <c r="N140">
        <v>3900</v>
      </c>
      <c r="O140">
        <f t="shared" si="24"/>
        <v>3900</v>
      </c>
      <c r="P140">
        <v>80000</v>
      </c>
      <c r="Q140" s="17">
        <f t="shared" si="28"/>
        <v>80000</v>
      </c>
      <c r="R140" t="s">
        <v>49</v>
      </c>
      <c r="S140" t="str">
        <f t="shared" si="29"/>
        <v>Não</v>
      </c>
      <c r="T140" t="s">
        <v>431</v>
      </c>
      <c r="U140">
        <f t="shared" si="30"/>
        <v>41</v>
      </c>
      <c r="V140" t="s">
        <v>49</v>
      </c>
      <c r="W140">
        <v>30000</v>
      </c>
      <c r="X140">
        <f t="shared" si="31"/>
        <v>30000</v>
      </c>
      <c r="Y140" t="str">
        <f t="shared" si="32"/>
        <v>Alto</v>
      </c>
      <c r="Z140" t="str">
        <f>IF(AND(Y140="Alto",S140="Sim"),"Negada","Aprovada")</f>
        <v>Aprovada</v>
      </c>
      <c r="AA140" t="str">
        <f t="shared" si="33"/>
        <v>Aprovada</v>
      </c>
      <c r="AB140" t="str">
        <f>IF(AND(Z140="Negada",AA140="Negada"),"Já foi negado",IF(B140="Ativo",X140*8%,"Não liberado"))</f>
        <v>Não liberado</v>
      </c>
    </row>
    <row r="141" spans="1:28">
      <c r="A141" t="s">
        <v>88</v>
      </c>
      <c r="B141" t="str">
        <f t="shared" si="25"/>
        <v>Ativo</v>
      </c>
      <c r="C141" t="str">
        <f t="shared" si="26"/>
        <v>Olenna Bracken</v>
      </c>
      <c r="D141" s="15" t="s">
        <v>432</v>
      </c>
      <c r="E141" s="16" t="s">
        <v>433</v>
      </c>
      <c r="F141" s="16" t="str">
        <f t="shared" si="34"/>
        <v>000.000.225-00</v>
      </c>
      <c r="G141">
        <v>45</v>
      </c>
      <c r="H141">
        <f t="shared" ca="1" si="35"/>
        <v>45</v>
      </c>
      <c r="I141" s="12">
        <v>29598</v>
      </c>
      <c r="J141" t="s">
        <v>113</v>
      </c>
      <c r="K141" t="str">
        <f t="shared" si="27"/>
        <v>Lannisporto</v>
      </c>
      <c r="L141" t="s">
        <v>203</v>
      </c>
      <c r="M141" t="str" cm="1">
        <f t="array" ref="M141">PROPER(IF(L141&lt;&gt;"",L141,_xlfn.XLOOKUP(1,($K$2:$K$398=K141)*($L$2:$L$398&lt;&gt;""),$L$2:$L$398,"")))</f>
        <v>Oeste</v>
      </c>
      <c r="N141">
        <v>22800</v>
      </c>
      <c r="O141">
        <f t="shared" si="24"/>
        <v>22800</v>
      </c>
      <c r="Q141" s="17">
        <f t="shared" si="28"/>
        <v>0</v>
      </c>
      <c r="R141" t="s">
        <v>49</v>
      </c>
      <c r="S141" t="str">
        <f t="shared" si="29"/>
        <v>Não</v>
      </c>
      <c r="T141">
        <v>10</v>
      </c>
      <c r="U141">
        <f t="shared" si="30"/>
        <v>10</v>
      </c>
      <c r="V141" t="s">
        <v>49</v>
      </c>
      <c r="W141">
        <v>31000</v>
      </c>
      <c r="X141">
        <f t="shared" si="31"/>
        <v>31000</v>
      </c>
      <c r="Y141" t="str">
        <f t="shared" si="32"/>
        <v>Baixo</v>
      </c>
      <c r="Z141" t="str">
        <f>IF(AND(Y141="Alto",S141="Sim"),"Negada","Aprovada")</f>
        <v>Aprovada</v>
      </c>
      <c r="AA141" t="str">
        <f t="shared" si="33"/>
        <v>Aprovada</v>
      </c>
      <c r="AB141">
        <f>IF(AND(Z141="Negada",AA141="Negada"),"Já foi negado",IF(B141="Ativo",X141*8%,"Não liberado"))</f>
        <v>2480</v>
      </c>
    </row>
    <row r="142" spans="1:28">
      <c r="A142" t="s">
        <v>88</v>
      </c>
      <c r="B142" t="str">
        <f t="shared" si="25"/>
        <v>Ativo</v>
      </c>
      <c r="C142" t="str">
        <f t="shared" si="26"/>
        <v>Aegon Marbrand</v>
      </c>
      <c r="D142" s="15" t="s">
        <v>434</v>
      </c>
      <c r="E142" s="16">
        <v>35200</v>
      </c>
      <c r="F142" s="16" t="str">
        <f t="shared" si="34"/>
        <v>000.000.352-00</v>
      </c>
      <c r="G142">
        <v>65</v>
      </c>
      <c r="H142">
        <f t="shared" ca="1" si="35"/>
        <v>65</v>
      </c>
      <c r="I142" s="12">
        <v>22337</v>
      </c>
      <c r="J142" t="s">
        <v>150</v>
      </c>
      <c r="K142" t="str">
        <f t="shared" si="27"/>
        <v>Castelo Negro</v>
      </c>
      <c r="L142" t="s">
        <v>151</v>
      </c>
      <c r="M142" t="str" cm="1">
        <f t="array" ref="M142">PROPER(IF(L142&lt;&gt;"",L142,_xlfn.XLOOKUP(1,($K$2:$K$398=K142)*($L$2:$L$398&lt;&gt;""),$L$2:$L$398,"")))</f>
        <v>Norte</v>
      </c>
      <c r="N142">
        <v>3800</v>
      </c>
      <c r="O142">
        <f t="shared" si="24"/>
        <v>3800</v>
      </c>
      <c r="P142">
        <v>49500</v>
      </c>
      <c r="Q142" s="17">
        <f t="shared" si="28"/>
        <v>49500</v>
      </c>
      <c r="R142" t="s">
        <v>49</v>
      </c>
      <c r="S142" t="str">
        <f t="shared" si="29"/>
        <v>Não</v>
      </c>
      <c r="T142">
        <v>16</v>
      </c>
      <c r="U142">
        <f t="shared" si="30"/>
        <v>16</v>
      </c>
      <c r="V142" t="s">
        <v>49</v>
      </c>
      <c r="W142">
        <v>15500</v>
      </c>
      <c r="X142">
        <f t="shared" si="31"/>
        <v>15500</v>
      </c>
      <c r="Y142" t="str">
        <f t="shared" si="32"/>
        <v>Médio</v>
      </c>
      <c r="Z142" t="str">
        <f>IF(AND(Y142="Alto",S142="Sim"),"Negada","Aprovada")</f>
        <v>Aprovada</v>
      </c>
      <c r="AA142" t="str">
        <f t="shared" si="33"/>
        <v>Aprovada</v>
      </c>
      <c r="AB142">
        <f>IF(AND(Z142="Negada",AA142="Negada"),"Já foi negado",IF(B142="Ativo",X142*8%,"Não liberado"))</f>
        <v>1240</v>
      </c>
    </row>
    <row r="143" spans="1:28">
      <c r="A143" t="s">
        <v>88</v>
      </c>
      <c r="B143" t="str">
        <f t="shared" si="25"/>
        <v>Ativo</v>
      </c>
      <c r="C143" t="str">
        <f t="shared" si="26"/>
        <v>Beric Tyrell</v>
      </c>
      <c r="D143" s="15" t="s">
        <v>435</v>
      </c>
      <c r="E143" s="16" t="s">
        <v>436</v>
      </c>
      <c r="F143" s="16" t="str">
        <f t="shared" si="34"/>
        <v>000.000.242-00</v>
      </c>
      <c r="G143">
        <v>66</v>
      </c>
      <c r="H143">
        <f t="shared" ca="1" si="35"/>
        <v>66</v>
      </c>
      <c r="I143" s="12">
        <v>22151</v>
      </c>
      <c r="J143" t="s">
        <v>157</v>
      </c>
      <c r="K143" t="str">
        <f t="shared" si="27"/>
        <v>Vilavelha</v>
      </c>
      <c r="L143" t="s">
        <v>158</v>
      </c>
      <c r="M143" t="str" cm="1">
        <f t="array" ref="M143">PROPER(IF(L143&lt;&gt;"",L143,_xlfn.XLOOKUP(1,($K$2:$K$398=K143)*($L$2:$L$398&lt;&gt;""),$L$2:$L$398,"")))</f>
        <v>Campina</v>
      </c>
      <c r="N143">
        <v>11800</v>
      </c>
      <c r="O143">
        <f t="shared" si="24"/>
        <v>11800</v>
      </c>
      <c r="P143" s="13">
        <v>2000</v>
      </c>
      <c r="Q143" s="17">
        <f t="shared" si="28"/>
        <v>2000</v>
      </c>
      <c r="R143" t="s">
        <v>50</v>
      </c>
      <c r="S143" t="str">
        <f t="shared" si="29"/>
        <v>Sim</v>
      </c>
      <c r="T143">
        <v>23</v>
      </c>
      <c r="U143">
        <f t="shared" si="30"/>
        <v>23</v>
      </c>
      <c r="V143" t="s">
        <v>50</v>
      </c>
      <c r="W143">
        <v>72500</v>
      </c>
      <c r="X143">
        <f t="shared" si="31"/>
        <v>72500</v>
      </c>
      <c r="Y143" t="str">
        <f t="shared" si="32"/>
        <v>Médio</v>
      </c>
      <c r="Z143" t="str">
        <f>IF(AND(Y143="Alto",S143="Sim"),"Negada","Aprovada")</f>
        <v>Aprovada</v>
      </c>
      <c r="AA143" t="str">
        <f t="shared" si="33"/>
        <v>Aprovada</v>
      </c>
      <c r="AB143">
        <f>IF(AND(Z143="Negada",AA143="Negada"),"Já foi negado",IF(B143="Ativo",X143*8%,"Não liberado"))</f>
        <v>5800</v>
      </c>
    </row>
    <row r="144" spans="1:28">
      <c r="A144" t="s">
        <v>93</v>
      </c>
      <c r="B144" t="str">
        <f t="shared" si="25"/>
        <v>Inativo</v>
      </c>
      <c r="C144" t="str">
        <f t="shared" si="26"/>
        <v>Asha Manderly</v>
      </c>
      <c r="D144" s="15" t="s">
        <v>437</v>
      </c>
      <c r="E144" s="16" t="s">
        <v>438</v>
      </c>
      <c r="F144" s="16" t="str">
        <f t="shared" si="34"/>
        <v>000.000.357-00</v>
      </c>
      <c r="G144">
        <v>29</v>
      </c>
      <c r="H144">
        <f t="shared" ca="1" si="35"/>
        <v>29</v>
      </c>
      <c r="I144" s="12">
        <v>35607</v>
      </c>
      <c r="J144" t="s">
        <v>163</v>
      </c>
      <c r="K144" t="str">
        <f t="shared" si="27"/>
        <v>Ilha dos Ursos</v>
      </c>
      <c r="L144" t="s">
        <v>151</v>
      </c>
      <c r="M144" t="str" cm="1">
        <f t="array" ref="M144">PROPER(IF(L144&lt;&gt;"",L144,_xlfn.XLOOKUP(1,($K$2:$K$398=K144)*($L$2:$L$398&lt;&gt;""),$L$2:$L$398,"")))</f>
        <v>Norte</v>
      </c>
      <c r="N144">
        <v>13800</v>
      </c>
      <c r="O144">
        <f t="shared" si="24"/>
        <v>13800</v>
      </c>
      <c r="P144">
        <v>41500</v>
      </c>
      <c r="Q144" s="17">
        <f t="shared" si="28"/>
        <v>41500</v>
      </c>
      <c r="R144" t="s">
        <v>49</v>
      </c>
      <c r="S144" t="str">
        <f t="shared" si="29"/>
        <v>Não</v>
      </c>
      <c r="T144">
        <v>34</v>
      </c>
      <c r="U144">
        <f t="shared" si="30"/>
        <v>34</v>
      </c>
      <c r="V144" t="s">
        <v>49</v>
      </c>
      <c r="W144">
        <v>66000</v>
      </c>
      <c r="X144">
        <f t="shared" si="31"/>
        <v>66000</v>
      </c>
      <c r="Y144" t="str">
        <f t="shared" si="32"/>
        <v>Alto</v>
      </c>
      <c r="Z144" t="str">
        <f>IF(AND(Y144="Alto",S144="Sim"),"Negada","Aprovada")</f>
        <v>Aprovada</v>
      </c>
      <c r="AA144" t="str">
        <f t="shared" si="33"/>
        <v>Aprovada</v>
      </c>
      <c r="AB144" t="str">
        <f>IF(AND(Z144="Negada",AA144="Negada"),"Já foi negado",IF(B144="Ativo",X144*8%,"Não liberado"))</f>
        <v>Não liberado</v>
      </c>
    </row>
    <row r="145" spans="1:28">
      <c r="A145" t="s">
        <v>88</v>
      </c>
      <c r="B145" t="str">
        <f t="shared" si="25"/>
        <v>Ativo</v>
      </c>
      <c r="C145" t="str">
        <f t="shared" si="26"/>
        <v>Ellaria Mormont</v>
      </c>
      <c r="D145" s="15" t="s">
        <v>439</v>
      </c>
      <c r="E145" s="16" t="s">
        <v>440</v>
      </c>
      <c r="F145" s="16" t="str">
        <f t="shared" si="34"/>
        <v>000.000.157-00</v>
      </c>
      <c r="G145">
        <v>22</v>
      </c>
      <c r="H145">
        <f t="shared" ca="1" si="35"/>
        <v>22</v>
      </c>
      <c r="I145" s="12">
        <v>37904</v>
      </c>
      <c r="J145" t="s">
        <v>95</v>
      </c>
      <c r="K145" t="str">
        <f t="shared" si="27"/>
        <v>Ponta Tempestade</v>
      </c>
      <c r="L145" t="s">
        <v>96</v>
      </c>
      <c r="M145" t="str" cm="1">
        <f t="array" ref="M145">PROPER(IF(L145&lt;&gt;"",L145,_xlfn.XLOOKUP(1,($K$2:$K$398=K145)*($L$2:$L$398&lt;&gt;""),$L$2:$L$398,"")))</f>
        <v>Terras Da Tempestade</v>
      </c>
      <c r="N145">
        <v>2300</v>
      </c>
      <c r="O145">
        <f t="shared" si="24"/>
        <v>2300</v>
      </c>
      <c r="P145">
        <v>0</v>
      </c>
      <c r="Q145" s="17">
        <f t="shared" si="28"/>
        <v>0</v>
      </c>
      <c r="R145" t="s">
        <v>50</v>
      </c>
      <c r="S145" t="str">
        <f t="shared" si="29"/>
        <v>Sim</v>
      </c>
      <c r="T145" t="s">
        <v>441</v>
      </c>
      <c r="U145">
        <f t="shared" si="30"/>
        <v>29</v>
      </c>
      <c r="V145" t="s">
        <v>50</v>
      </c>
      <c r="W145">
        <v>51500</v>
      </c>
      <c r="X145">
        <f t="shared" si="31"/>
        <v>51500</v>
      </c>
      <c r="Y145" t="str">
        <f t="shared" si="32"/>
        <v>Alto</v>
      </c>
      <c r="Z145" t="str">
        <f>IF(AND(Y145="Alto",S145="Sim"),"Negada","Aprovada")</f>
        <v>Negada</v>
      </c>
      <c r="AA145" t="str">
        <f t="shared" si="33"/>
        <v>Aprovada</v>
      </c>
      <c r="AB145">
        <f>IF(AND(Z145="Negada",AA145="Negada"),"Já foi negado",IF(B145="Ativo",X145*8%,"Não liberado"))</f>
        <v>4120</v>
      </c>
    </row>
    <row r="146" spans="1:28">
      <c r="A146" t="s">
        <v>93</v>
      </c>
      <c r="B146" t="str">
        <f t="shared" si="25"/>
        <v>Inativo</v>
      </c>
      <c r="C146" t="str">
        <f t="shared" si="26"/>
        <v>Grey Worm Baratheon</v>
      </c>
      <c r="D146" s="15" t="s">
        <v>442</v>
      </c>
      <c r="E146" s="16" t="s">
        <v>443</v>
      </c>
      <c r="F146" s="16" t="str">
        <f t="shared" si="34"/>
        <v>000.000.221-00</v>
      </c>
      <c r="G146">
        <v>29</v>
      </c>
      <c r="H146">
        <f t="shared" ca="1" si="35"/>
        <v>29</v>
      </c>
      <c r="I146" s="12">
        <v>35598</v>
      </c>
      <c r="J146" t="s">
        <v>193</v>
      </c>
      <c r="K146" t="str">
        <f t="shared" si="27"/>
        <v>Dorne</v>
      </c>
      <c r="L146" t="s">
        <v>193</v>
      </c>
      <c r="M146" t="str" cm="1">
        <f t="array" ref="M146">PROPER(IF(L146&lt;&gt;"",L146,_xlfn.XLOOKUP(1,($K$2:$K$398=K146)*($L$2:$L$398&lt;&gt;""),$L$2:$L$398,"")))</f>
        <v>Dorne</v>
      </c>
      <c r="N146">
        <v>15500</v>
      </c>
      <c r="O146">
        <f t="shared" si="24"/>
        <v>15500</v>
      </c>
      <c r="P146">
        <v>75000</v>
      </c>
      <c r="Q146" s="17">
        <f t="shared" si="28"/>
        <v>75000</v>
      </c>
      <c r="R146" t="s">
        <v>49</v>
      </c>
      <c r="S146" t="str">
        <f t="shared" si="29"/>
        <v>Não</v>
      </c>
      <c r="T146">
        <v>25</v>
      </c>
      <c r="U146">
        <f t="shared" si="30"/>
        <v>25</v>
      </c>
      <c r="V146" t="s">
        <v>49</v>
      </c>
      <c r="W146">
        <v>47000</v>
      </c>
      <c r="X146">
        <f t="shared" si="31"/>
        <v>47000</v>
      </c>
      <c r="Y146" t="str">
        <f t="shared" si="32"/>
        <v>Médio</v>
      </c>
      <c r="Z146" t="str">
        <f>IF(AND(Y146="Alto",S146="Sim"),"Negada","Aprovada")</f>
        <v>Aprovada</v>
      </c>
      <c r="AA146" t="str">
        <f t="shared" si="33"/>
        <v>Aprovada</v>
      </c>
      <c r="AB146" t="str">
        <f>IF(AND(Z146="Negada",AA146="Negada"),"Já foi negado",IF(B146="Ativo",X146*8%,"Não liberado"))</f>
        <v>Não liberado</v>
      </c>
    </row>
    <row r="147" spans="1:28">
      <c r="A147" t="s">
        <v>88</v>
      </c>
      <c r="B147" t="str">
        <f t="shared" si="25"/>
        <v>Ativo</v>
      </c>
      <c r="C147" t="str">
        <f t="shared" si="26"/>
        <v>Ellaria Swyft</v>
      </c>
      <c r="D147" s="15" t="s">
        <v>444</v>
      </c>
      <c r="E147" s="16" t="s">
        <v>445</v>
      </c>
      <c r="F147" s="16" t="str">
        <f t="shared" si="34"/>
        <v>000.000.115-00</v>
      </c>
      <c r="G147">
        <v>72</v>
      </c>
      <c r="H147">
        <f t="shared" ca="1" si="35"/>
        <v>72</v>
      </c>
      <c r="I147" s="12">
        <v>19839</v>
      </c>
      <c r="J147" t="s">
        <v>91</v>
      </c>
      <c r="K147" t="str">
        <f t="shared" si="27"/>
        <v>Ninho da Águia</v>
      </c>
      <c r="L147" t="s">
        <v>446</v>
      </c>
      <c r="M147" t="str" cm="1">
        <f t="array" ref="M147">PROPER(IF(L147&lt;&gt;"",L147,_xlfn.XLOOKUP(1,($K$2:$K$398=K147)*($L$2:$L$398&lt;&gt;""),$L$2:$L$398,"")))</f>
        <v>Vale</v>
      </c>
      <c r="N147" s="13">
        <v>3900</v>
      </c>
      <c r="O147">
        <f t="shared" si="24"/>
        <v>3900</v>
      </c>
      <c r="P147">
        <v>27000</v>
      </c>
      <c r="Q147" s="17">
        <f t="shared" si="28"/>
        <v>27000</v>
      </c>
      <c r="R147" t="s">
        <v>49</v>
      </c>
      <c r="S147" t="str">
        <f t="shared" si="29"/>
        <v>Não</v>
      </c>
      <c r="T147">
        <v>33</v>
      </c>
      <c r="U147">
        <f t="shared" si="30"/>
        <v>33</v>
      </c>
      <c r="V147" t="s">
        <v>49</v>
      </c>
      <c r="W147">
        <v>2000</v>
      </c>
      <c r="X147">
        <f t="shared" si="31"/>
        <v>2000</v>
      </c>
      <c r="Y147" t="str">
        <f t="shared" si="32"/>
        <v>Alto</v>
      </c>
      <c r="Z147" t="str">
        <f>IF(AND(Y147="Alto",S147="Sim"),"Negada","Aprovada")</f>
        <v>Aprovada</v>
      </c>
      <c r="AA147" t="str">
        <f t="shared" si="33"/>
        <v>Aprovada</v>
      </c>
      <c r="AB147">
        <f>IF(AND(Z147="Negada",AA147="Negada"),"Já foi negado",IF(B147="Ativo",X147*8%,"Não liberado"))</f>
        <v>160</v>
      </c>
    </row>
    <row r="148" spans="1:28">
      <c r="A148" t="s">
        <v>88</v>
      </c>
      <c r="B148" t="str">
        <f t="shared" si="25"/>
        <v>Ativo</v>
      </c>
      <c r="C148" t="str">
        <f t="shared" si="26"/>
        <v>Grey  Worm  Greyjoy</v>
      </c>
      <c r="D148" s="15" t="s">
        <v>447</v>
      </c>
      <c r="E148" s="16" t="s">
        <v>448</v>
      </c>
      <c r="F148" s="16" t="str">
        <f t="shared" si="34"/>
        <v>000.000.182-00</v>
      </c>
      <c r="G148">
        <v>58</v>
      </c>
      <c r="H148">
        <f t="shared" ca="1" si="35"/>
        <v>58</v>
      </c>
      <c r="I148" s="12">
        <v>25066</v>
      </c>
      <c r="J148" t="s">
        <v>182</v>
      </c>
      <c r="K148" t="str">
        <f t="shared" si="27"/>
        <v>Jardim de Cima</v>
      </c>
      <c r="L148" t="s">
        <v>227</v>
      </c>
      <c r="M148" t="str" cm="1">
        <f t="array" ref="M148">PROPER(IF(L148&lt;&gt;"",L148,_xlfn.XLOOKUP(1,($K$2:$K$398=K148)*($L$2:$L$398&lt;&gt;""),$L$2:$L$398,"")))</f>
        <v>Campina</v>
      </c>
      <c r="N148" s="14">
        <v>4500</v>
      </c>
      <c r="O148">
        <f t="shared" si="24"/>
        <v>4500</v>
      </c>
      <c r="Q148" s="17">
        <f t="shared" si="28"/>
        <v>0</v>
      </c>
      <c r="R148" t="s">
        <v>50</v>
      </c>
      <c r="S148" t="str">
        <f t="shared" si="29"/>
        <v>Sim</v>
      </c>
      <c r="T148">
        <v>31</v>
      </c>
      <c r="U148">
        <f t="shared" si="30"/>
        <v>31</v>
      </c>
      <c r="V148" t="s">
        <v>50</v>
      </c>
      <c r="W148">
        <v>97500</v>
      </c>
      <c r="X148">
        <f t="shared" si="31"/>
        <v>97500</v>
      </c>
      <c r="Y148" t="str">
        <f t="shared" si="32"/>
        <v>Alto</v>
      </c>
      <c r="Z148" t="str">
        <f>IF(AND(Y148="Alto",S148="Sim"),"Negada","Aprovada")</f>
        <v>Negada</v>
      </c>
      <c r="AA148" t="str">
        <f t="shared" si="33"/>
        <v>Aprovada</v>
      </c>
      <c r="AB148">
        <f>IF(AND(Z148="Negada",AA148="Negada"),"Já foi negado",IF(B148="Ativo",X148*8%,"Não liberado"))</f>
        <v>7800</v>
      </c>
    </row>
    <row r="149" spans="1:28">
      <c r="A149" t="s">
        <v>183</v>
      </c>
      <c r="B149" t="str">
        <f t="shared" si="25"/>
        <v>Ativo</v>
      </c>
      <c r="C149" t="str">
        <f t="shared" si="26"/>
        <v>Jeor  Payne</v>
      </c>
      <c r="D149" s="15" t="s">
        <v>449</v>
      </c>
      <c r="E149" s="16">
        <v>20900</v>
      </c>
      <c r="F149" s="16" t="str">
        <f t="shared" si="34"/>
        <v>000.000.209-00</v>
      </c>
      <c r="G149">
        <v>33</v>
      </c>
      <c r="H149">
        <f t="shared" ca="1" si="35"/>
        <v>33</v>
      </c>
      <c r="I149" s="12">
        <v>34021</v>
      </c>
      <c r="J149" t="s">
        <v>95</v>
      </c>
      <c r="K149" t="str">
        <f t="shared" si="27"/>
        <v>Ponta Tempestade</v>
      </c>
      <c r="L149" t="s">
        <v>96</v>
      </c>
      <c r="M149" t="str" cm="1">
        <f t="array" ref="M149">PROPER(IF(L149&lt;&gt;"",L149,_xlfn.XLOOKUP(1,($K$2:$K$398=K149)*($L$2:$L$398&lt;&gt;""),$L$2:$L$398,"")))</f>
        <v>Terras Da Tempestade</v>
      </c>
      <c r="O149" t="str">
        <f t="shared" si="24"/>
        <v>Não informado</v>
      </c>
      <c r="P149">
        <v>73500</v>
      </c>
      <c r="Q149" s="17">
        <f t="shared" si="28"/>
        <v>73500</v>
      </c>
      <c r="R149" t="s">
        <v>49</v>
      </c>
      <c r="S149" t="str">
        <f t="shared" si="29"/>
        <v>Não</v>
      </c>
      <c r="T149">
        <v>33</v>
      </c>
      <c r="U149">
        <f t="shared" si="30"/>
        <v>33</v>
      </c>
      <c r="V149" t="s">
        <v>49</v>
      </c>
      <c r="W149">
        <v>95000</v>
      </c>
      <c r="X149">
        <f t="shared" si="31"/>
        <v>95000</v>
      </c>
      <c r="Y149" t="str">
        <f t="shared" si="32"/>
        <v>Alto</v>
      </c>
      <c r="Z149" t="str">
        <f>IF(AND(Y149="Alto",S149="Sim"),"Negada","Aprovada")</f>
        <v>Aprovada</v>
      </c>
      <c r="AA149" t="str">
        <f t="shared" si="33"/>
        <v>Aprovada</v>
      </c>
      <c r="AB149">
        <f>IF(AND(Z149="Negada",AA149="Negada"),"Já foi negado",IF(B149="Ativo",X149*8%,"Não liberado"))</f>
        <v>7600</v>
      </c>
    </row>
    <row r="150" spans="1:28">
      <c r="A150" t="s">
        <v>88</v>
      </c>
      <c r="B150" t="str">
        <f t="shared" si="25"/>
        <v>Ativo</v>
      </c>
      <c r="C150" t="str">
        <f t="shared" si="26"/>
        <v>Bronn Royce</v>
      </c>
      <c r="D150" s="15" t="s">
        <v>450</v>
      </c>
      <c r="E150" s="16">
        <v>36900</v>
      </c>
      <c r="F150" s="16" t="str">
        <f t="shared" si="34"/>
        <v>000.000.369-00</v>
      </c>
      <c r="G150">
        <v>61</v>
      </c>
      <c r="H150">
        <f t="shared" ca="1" si="35"/>
        <v>61</v>
      </c>
      <c r="I150" s="12">
        <v>23928</v>
      </c>
      <c r="J150" t="s">
        <v>312</v>
      </c>
      <c r="K150" t="str">
        <f t="shared" si="27"/>
        <v>Solar do Entardecer</v>
      </c>
      <c r="L150" t="s">
        <v>96</v>
      </c>
      <c r="M150" t="str" cm="1">
        <f t="array" ref="M150">PROPER(IF(L150&lt;&gt;"",L150,_xlfn.XLOOKUP(1,($K$2:$K$398=K150)*($L$2:$L$398&lt;&gt;""),$L$2:$L$398,"")))</f>
        <v>Terras Da Tempestade</v>
      </c>
      <c r="N150">
        <v>22900</v>
      </c>
      <c r="O150">
        <f t="shared" ref="O150:O213" si="36">IF(N150="","Não informado",IFERROR(VALUE(SUBSTITUTE(SUBSTITUTE(N150,"R$ ","")," moedas","")),N150))</f>
        <v>22900</v>
      </c>
      <c r="P150">
        <v>7500</v>
      </c>
      <c r="Q150" s="17">
        <f t="shared" si="28"/>
        <v>7500</v>
      </c>
      <c r="R150" t="s">
        <v>49</v>
      </c>
      <c r="S150" t="str">
        <f t="shared" si="29"/>
        <v>Não</v>
      </c>
      <c r="T150">
        <v>12</v>
      </c>
      <c r="U150">
        <f t="shared" si="30"/>
        <v>12</v>
      </c>
      <c r="V150" t="s">
        <v>49</v>
      </c>
      <c r="W150">
        <v>73000</v>
      </c>
      <c r="X150">
        <f t="shared" si="31"/>
        <v>73000</v>
      </c>
      <c r="Y150" t="str">
        <f t="shared" si="32"/>
        <v>Médio</v>
      </c>
      <c r="Z150" t="str">
        <f>IF(AND(Y150="Alto",S150="Sim"),"Negada","Aprovada")</f>
        <v>Aprovada</v>
      </c>
      <c r="AA150" t="str">
        <f t="shared" si="33"/>
        <v>Aprovada</v>
      </c>
      <c r="AB150">
        <f>IF(AND(Z150="Negada",AA150="Negada"),"Já foi negado",IF(B150="Ativo",X150*8%,"Não liberado"))</f>
        <v>5840</v>
      </c>
    </row>
    <row r="151" spans="1:28">
      <c r="A151" t="s">
        <v>88</v>
      </c>
      <c r="B151" t="str">
        <f t="shared" si="25"/>
        <v>Ativo</v>
      </c>
      <c r="C151" t="str">
        <f t="shared" si="26"/>
        <v>Robert Hornwood</v>
      </c>
      <c r="D151" s="15" t="s">
        <v>451</v>
      </c>
      <c r="E151" s="16" t="s">
        <v>452</v>
      </c>
      <c r="F151" s="16" t="str">
        <f t="shared" si="34"/>
        <v>000.000.259-00</v>
      </c>
      <c r="G151">
        <v>73</v>
      </c>
      <c r="H151">
        <f t="shared" ca="1" si="35"/>
        <v>73</v>
      </c>
      <c r="I151" s="12">
        <v>19363</v>
      </c>
      <c r="J151" t="s">
        <v>182</v>
      </c>
      <c r="K151" t="str">
        <f t="shared" si="27"/>
        <v>Jardim de Cima</v>
      </c>
      <c r="L151" t="s">
        <v>158</v>
      </c>
      <c r="M151" t="str" cm="1">
        <f t="array" ref="M151">PROPER(IF(L151&lt;&gt;"",L151,_xlfn.XLOOKUP(1,($K$2:$K$398=K151)*($L$2:$L$398&lt;&gt;""),$L$2:$L$398,"")))</f>
        <v>Campina</v>
      </c>
      <c r="N151" t="s">
        <v>132</v>
      </c>
      <c r="O151">
        <f t="shared" si="36"/>
        <v>23000</v>
      </c>
      <c r="P151" s="13">
        <v>19000</v>
      </c>
      <c r="Q151" s="17">
        <f t="shared" si="28"/>
        <v>19000</v>
      </c>
      <c r="R151" t="s">
        <v>49</v>
      </c>
      <c r="S151" t="str">
        <f t="shared" si="29"/>
        <v>Não</v>
      </c>
      <c r="T151">
        <v>0</v>
      </c>
      <c r="U151">
        <f t="shared" si="30"/>
        <v>0</v>
      </c>
      <c r="V151" t="s">
        <v>49</v>
      </c>
      <c r="W151">
        <v>17000</v>
      </c>
      <c r="X151">
        <f t="shared" si="31"/>
        <v>17000</v>
      </c>
      <c r="Y151" t="str">
        <f t="shared" si="32"/>
        <v>Baixo</v>
      </c>
      <c r="Z151" t="str">
        <f>IF(AND(Y151="Alto",S151="Sim"),"Negada","Aprovada")</f>
        <v>Aprovada</v>
      </c>
      <c r="AA151" t="str">
        <f t="shared" si="33"/>
        <v>Aprovada</v>
      </c>
      <c r="AB151">
        <f>IF(AND(Z151="Negada",AA151="Negada"),"Já foi negado",IF(B151="Ativo",X151*8%,"Não liberado"))</f>
        <v>1360</v>
      </c>
    </row>
    <row r="152" spans="1:28">
      <c r="A152" t="s">
        <v>93</v>
      </c>
      <c r="B152" t="str">
        <f t="shared" si="25"/>
        <v>Inativo</v>
      </c>
      <c r="C152" t="str">
        <f t="shared" si="26"/>
        <v>Asha Bolton</v>
      </c>
      <c r="D152" s="15" t="s">
        <v>453</v>
      </c>
      <c r="E152" s="16">
        <v>6900</v>
      </c>
      <c r="F152" s="16" t="str">
        <f t="shared" si="34"/>
        <v>000.000.069-00</v>
      </c>
      <c r="G152">
        <v>51</v>
      </c>
      <c r="H152">
        <f t="shared" ca="1" si="35"/>
        <v>51</v>
      </c>
      <c r="I152" s="12">
        <v>27590</v>
      </c>
      <c r="J152" t="s">
        <v>150</v>
      </c>
      <c r="K152" t="str">
        <f t="shared" si="27"/>
        <v>Castelo Negro</v>
      </c>
      <c r="L152" t="s">
        <v>151</v>
      </c>
      <c r="M152" t="str" cm="1">
        <f t="array" ref="M152">PROPER(IF(L152&lt;&gt;"",L152,_xlfn.XLOOKUP(1,($K$2:$K$398=K152)*($L$2:$L$398&lt;&gt;""),$L$2:$L$398,"")))</f>
        <v>Norte</v>
      </c>
      <c r="N152" s="14">
        <v>19400</v>
      </c>
      <c r="O152">
        <f t="shared" si="36"/>
        <v>19400</v>
      </c>
      <c r="P152">
        <v>4000</v>
      </c>
      <c r="Q152" s="17">
        <f t="shared" si="28"/>
        <v>4000</v>
      </c>
      <c r="R152" t="s">
        <v>49</v>
      </c>
      <c r="S152" t="str">
        <f t="shared" si="29"/>
        <v>Não</v>
      </c>
      <c r="T152">
        <v>30</v>
      </c>
      <c r="U152">
        <f t="shared" si="30"/>
        <v>30</v>
      </c>
      <c r="V152" t="s">
        <v>49</v>
      </c>
      <c r="W152">
        <v>38500</v>
      </c>
      <c r="X152">
        <f t="shared" si="31"/>
        <v>38500</v>
      </c>
      <c r="Y152" t="str">
        <f t="shared" si="32"/>
        <v>Alto</v>
      </c>
      <c r="Z152" t="str">
        <f>IF(AND(Y152="Alto",S152="Sim"),"Negada","Aprovada")</f>
        <v>Aprovada</v>
      </c>
      <c r="AA152" t="str">
        <f t="shared" si="33"/>
        <v>Aprovada</v>
      </c>
      <c r="AB152" t="str">
        <f>IF(AND(Z152="Negada",AA152="Negada"),"Já foi negado",IF(B152="Ativo",X152*8%,"Não liberado"))</f>
        <v>Não liberado</v>
      </c>
    </row>
    <row r="153" spans="1:28">
      <c r="A153" t="s">
        <v>88</v>
      </c>
      <c r="B153" t="str">
        <f t="shared" si="25"/>
        <v>Ativo</v>
      </c>
      <c r="C153" t="str">
        <f t="shared" si="26"/>
        <v>Bronn Blackwood</v>
      </c>
      <c r="D153" s="15" t="s">
        <v>454</v>
      </c>
      <c r="E153" s="16" t="s">
        <v>455</v>
      </c>
      <c r="F153" s="16" t="str">
        <f t="shared" si="34"/>
        <v>000.000.052-00</v>
      </c>
      <c r="G153">
        <v>43</v>
      </c>
      <c r="H153">
        <f t="shared" ca="1" si="35"/>
        <v>43</v>
      </c>
      <c r="I153" s="12">
        <v>30309</v>
      </c>
      <c r="J153" t="s">
        <v>254</v>
      </c>
      <c r="K153" t="str">
        <f t="shared" si="27"/>
        <v>Atalaia da �gua Cinzenta</v>
      </c>
      <c r="L153" t="s">
        <v>255</v>
      </c>
      <c r="M153" t="str" cm="1">
        <f t="array" ref="M153">PROPER(IF(L153&lt;&gt;"",L153,_xlfn.XLOOKUP(1,($K$2:$K$398=K153)*($L$2:$L$398&lt;&gt;""),$L$2:$L$398,"")))</f>
        <v>Gargalo</v>
      </c>
      <c r="N153" s="13">
        <v>18400</v>
      </c>
      <c r="O153">
        <f t="shared" si="36"/>
        <v>18400</v>
      </c>
      <c r="P153">
        <v>62000</v>
      </c>
      <c r="Q153" s="17">
        <f t="shared" si="28"/>
        <v>62000</v>
      </c>
      <c r="R153" t="s">
        <v>49</v>
      </c>
      <c r="S153" t="str">
        <f t="shared" si="29"/>
        <v>Não</v>
      </c>
      <c r="T153">
        <v>33</v>
      </c>
      <c r="U153">
        <f t="shared" si="30"/>
        <v>33</v>
      </c>
      <c r="V153" t="s">
        <v>49</v>
      </c>
      <c r="W153">
        <v>31000</v>
      </c>
      <c r="X153">
        <f t="shared" si="31"/>
        <v>31000</v>
      </c>
      <c r="Y153" t="str">
        <f t="shared" si="32"/>
        <v>Alto</v>
      </c>
      <c r="Z153" t="str">
        <f>IF(AND(Y153="Alto",S153="Sim"),"Negada","Aprovada")</f>
        <v>Aprovada</v>
      </c>
      <c r="AA153" t="str">
        <f t="shared" si="33"/>
        <v>Aprovada</v>
      </c>
      <c r="AB153">
        <f>IF(AND(Z153="Negada",AA153="Negada"),"Já foi negado",IF(B153="Ativo",X153*8%,"Não liberado"))</f>
        <v>2480</v>
      </c>
    </row>
    <row r="154" spans="1:28">
      <c r="A154" t="s">
        <v>93</v>
      </c>
      <c r="B154" t="str">
        <f t="shared" si="25"/>
        <v>Inativo</v>
      </c>
      <c r="C154" t="str">
        <f t="shared" si="26"/>
        <v>Daario Arryn</v>
      </c>
      <c r="D154" s="15" t="s">
        <v>456</v>
      </c>
      <c r="E154" s="16" t="s">
        <v>457</v>
      </c>
      <c r="F154" s="16" t="str">
        <f t="shared" si="34"/>
        <v>000.000.173-00</v>
      </c>
      <c r="G154">
        <v>63</v>
      </c>
      <c r="H154">
        <f t="shared" ca="1" si="35"/>
        <v>63</v>
      </c>
      <c r="I154" s="12">
        <v>23119</v>
      </c>
      <c r="J154" t="s">
        <v>91</v>
      </c>
      <c r="K154" t="str">
        <f t="shared" si="27"/>
        <v>Ninho da Águia</v>
      </c>
      <c r="L154" t="s">
        <v>110</v>
      </c>
      <c r="M154" t="str" cm="1">
        <f t="array" ref="M154">PROPER(IF(L154&lt;&gt;"",L154,_xlfn.XLOOKUP(1,($K$2:$K$398=K154)*($L$2:$L$398&lt;&gt;""),$L$2:$L$398,"")))</f>
        <v>Vale</v>
      </c>
      <c r="N154">
        <v>9300</v>
      </c>
      <c r="O154">
        <f t="shared" si="36"/>
        <v>9300</v>
      </c>
      <c r="P154">
        <v>48500</v>
      </c>
      <c r="Q154" s="17">
        <f t="shared" si="28"/>
        <v>48500</v>
      </c>
      <c r="R154" t="s">
        <v>49</v>
      </c>
      <c r="S154" t="str">
        <f t="shared" si="29"/>
        <v>Não</v>
      </c>
      <c r="T154">
        <v>28</v>
      </c>
      <c r="U154">
        <f t="shared" si="30"/>
        <v>28</v>
      </c>
      <c r="V154" t="s">
        <v>49</v>
      </c>
      <c r="W154">
        <v>20000</v>
      </c>
      <c r="X154">
        <f t="shared" si="31"/>
        <v>20000</v>
      </c>
      <c r="Y154" t="str">
        <f t="shared" si="32"/>
        <v>Alto</v>
      </c>
      <c r="Z154" t="str">
        <f>IF(AND(Y154="Alto",S154="Sim"),"Negada","Aprovada")</f>
        <v>Aprovada</v>
      </c>
      <c r="AA154" t="str">
        <f t="shared" si="33"/>
        <v>Aprovada</v>
      </c>
      <c r="AB154" t="str">
        <f>IF(AND(Z154="Negada",AA154="Negada"),"Já foi negado",IF(B154="Ativo",X154*8%,"Não liberado"))</f>
        <v>Não liberado</v>
      </c>
    </row>
    <row r="155" spans="1:28">
      <c r="A155" t="s">
        <v>93</v>
      </c>
      <c r="B155" t="str">
        <f t="shared" si="25"/>
        <v>Inativo</v>
      </c>
      <c r="C155" t="str">
        <f t="shared" si="26"/>
        <v>Jeor Marbrand</v>
      </c>
      <c r="D155" s="15" t="s">
        <v>458</v>
      </c>
      <c r="E155" s="16" t="s">
        <v>459</v>
      </c>
      <c r="F155" s="16" t="str">
        <f t="shared" si="34"/>
        <v>000.000.073-00</v>
      </c>
      <c r="G155">
        <v>63</v>
      </c>
      <c r="H155">
        <f t="shared" ca="1" si="35"/>
        <v>63</v>
      </c>
      <c r="I155" s="12">
        <v>22924</v>
      </c>
      <c r="J155" t="s">
        <v>136</v>
      </c>
      <c r="K155" t="str">
        <f t="shared" si="27"/>
        <v>Braavos</v>
      </c>
      <c r="L155" t="s">
        <v>267</v>
      </c>
      <c r="M155" t="str" cm="1">
        <f t="array" ref="M155">PROPER(IF(L155&lt;&gt;"",L155,_xlfn.XLOOKUP(1,($K$2:$K$398=K155)*($L$2:$L$398&lt;&gt;""),$L$2:$L$398,"")))</f>
        <v>Essos</v>
      </c>
      <c r="N155">
        <v>29000</v>
      </c>
      <c r="O155">
        <f t="shared" si="36"/>
        <v>29000</v>
      </c>
      <c r="P155" s="13">
        <v>36500</v>
      </c>
      <c r="Q155" s="17">
        <f t="shared" si="28"/>
        <v>36500</v>
      </c>
      <c r="R155" t="s">
        <v>49</v>
      </c>
      <c r="S155" t="str">
        <f t="shared" si="29"/>
        <v>Não</v>
      </c>
      <c r="T155">
        <v>38</v>
      </c>
      <c r="U155">
        <f t="shared" si="30"/>
        <v>38</v>
      </c>
      <c r="V155" t="s">
        <v>49</v>
      </c>
      <c r="W155">
        <v>47000</v>
      </c>
      <c r="X155">
        <f t="shared" si="31"/>
        <v>47000</v>
      </c>
      <c r="Y155" t="str">
        <f t="shared" si="32"/>
        <v>Alto</v>
      </c>
      <c r="Z155" t="str">
        <f>IF(AND(Y155="Alto",S155="Sim"),"Negada","Aprovada")</f>
        <v>Aprovada</v>
      </c>
      <c r="AA155" t="str">
        <f t="shared" si="33"/>
        <v>Aprovada</v>
      </c>
      <c r="AB155" t="str">
        <f>IF(AND(Z155="Negada",AA155="Negada"),"Já foi negado",IF(B155="Ativo",X155*8%,"Não liberado"))</f>
        <v>Não liberado</v>
      </c>
    </row>
    <row r="156" spans="1:28">
      <c r="A156" t="s">
        <v>93</v>
      </c>
      <c r="B156" t="str">
        <f t="shared" si="25"/>
        <v>Inativo</v>
      </c>
      <c r="C156" t="str">
        <f t="shared" si="26"/>
        <v>Petyr Karstark</v>
      </c>
      <c r="D156" s="15" t="s">
        <v>460</v>
      </c>
      <c r="E156" s="16">
        <v>23700</v>
      </c>
      <c r="F156" s="16" t="str">
        <f t="shared" si="34"/>
        <v>000.000.237-00</v>
      </c>
      <c r="H156">
        <f t="shared" ca="1" si="35"/>
        <v>74</v>
      </c>
      <c r="I156" s="12">
        <v>19234</v>
      </c>
      <c r="J156" t="s">
        <v>182</v>
      </c>
      <c r="K156" t="str">
        <f t="shared" si="27"/>
        <v>Jardim de Cima</v>
      </c>
      <c r="L156" t="s">
        <v>158</v>
      </c>
      <c r="M156" t="str" cm="1">
        <f t="array" ref="M156">PROPER(IF(L156&lt;&gt;"",L156,_xlfn.XLOOKUP(1,($K$2:$K$398=K156)*($L$2:$L$398&lt;&gt;""),$L$2:$L$398,"")))</f>
        <v>Campina</v>
      </c>
      <c r="N156" s="13">
        <v>8900</v>
      </c>
      <c r="O156">
        <f t="shared" si="36"/>
        <v>8900</v>
      </c>
      <c r="P156" s="13">
        <v>4000</v>
      </c>
      <c r="Q156" s="17">
        <f t="shared" si="28"/>
        <v>4000</v>
      </c>
      <c r="R156" t="s">
        <v>49</v>
      </c>
      <c r="S156" t="str">
        <f t="shared" si="29"/>
        <v>Não</v>
      </c>
      <c r="T156">
        <v>38</v>
      </c>
      <c r="U156">
        <f t="shared" si="30"/>
        <v>38</v>
      </c>
      <c r="V156" t="s">
        <v>49</v>
      </c>
      <c r="W156">
        <v>22500</v>
      </c>
      <c r="X156">
        <f t="shared" si="31"/>
        <v>22500</v>
      </c>
      <c r="Y156" t="str">
        <f t="shared" si="32"/>
        <v>Alto</v>
      </c>
      <c r="Z156" t="str">
        <f>IF(AND(Y156="Alto",S156="Sim"),"Negada","Aprovada")</f>
        <v>Aprovada</v>
      </c>
      <c r="AA156" t="str">
        <f t="shared" si="33"/>
        <v>Aprovada</v>
      </c>
      <c r="AB156" t="str">
        <f>IF(AND(Z156="Negada",AA156="Negada"),"Já foi negado",IF(B156="Ativo",X156*8%,"Não liberado"))</f>
        <v>Não liberado</v>
      </c>
    </row>
    <row r="157" spans="1:28">
      <c r="B157" t="str">
        <f t="shared" si="25"/>
        <v>Não informado</v>
      </c>
      <c r="C157" t="str">
        <f t="shared" si="26"/>
        <v>Ramsay Stark</v>
      </c>
      <c r="D157" s="15" t="s">
        <v>461</v>
      </c>
      <c r="E157" s="16" t="s">
        <v>462</v>
      </c>
      <c r="F157" s="16" t="str">
        <f t="shared" si="34"/>
        <v>000.000.169-00</v>
      </c>
      <c r="G157">
        <v>61</v>
      </c>
      <c r="H157">
        <f t="shared" ca="1" si="35"/>
        <v>61</v>
      </c>
      <c r="I157" s="12">
        <v>23813</v>
      </c>
      <c r="J157" t="s">
        <v>136</v>
      </c>
      <c r="K157" t="str">
        <f t="shared" si="27"/>
        <v>Braavos</v>
      </c>
      <c r="L157" t="s">
        <v>131</v>
      </c>
      <c r="M157" t="str" cm="1">
        <f t="array" ref="M157">PROPER(IF(L157&lt;&gt;"",L157,_xlfn.XLOOKUP(1,($K$2:$K$398=K157)*($L$2:$L$398&lt;&gt;""),$L$2:$L$398,"")))</f>
        <v>Essos</v>
      </c>
      <c r="N157" s="13">
        <v>26300</v>
      </c>
      <c r="O157">
        <f t="shared" si="36"/>
        <v>26300</v>
      </c>
      <c r="P157">
        <v>40000</v>
      </c>
      <c r="Q157" s="17">
        <f t="shared" si="28"/>
        <v>40000</v>
      </c>
      <c r="R157" t="s">
        <v>50</v>
      </c>
      <c r="S157" t="str">
        <f t="shared" si="29"/>
        <v>Sim</v>
      </c>
      <c r="T157" t="s">
        <v>323</v>
      </c>
      <c r="U157">
        <f t="shared" si="30"/>
        <v>10</v>
      </c>
      <c r="V157" t="s">
        <v>50</v>
      </c>
      <c r="W157">
        <v>16500</v>
      </c>
      <c r="X157">
        <f t="shared" si="31"/>
        <v>16500</v>
      </c>
      <c r="Y157" t="str">
        <f t="shared" si="32"/>
        <v>Baixo</v>
      </c>
      <c r="Z157" t="str">
        <f>IF(AND(Y157="Alto",S157="Sim"),"Negada","Aprovada")</f>
        <v>Aprovada</v>
      </c>
      <c r="AA157" t="str">
        <f t="shared" si="33"/>
        <v>Aprovada</v>
      </c>
      <c r="AB157" t="str">
        <f>IF(AND(Z157="Negada",AA157="Negada"),"Já foi negado",IF(B157="Ativo",X157*8%,"Não liberado"))</f>
        <v>Não liberado</v>
      </c>
    </row>
    <row r="158" spans="1:28">
      <c r="A158" t="s">
        <v>88</v>
      </c>
      <c r="B158" t="str">
        <f t="shared" si="25"/>
        <v>Ativo</v>
      </c>
      <c r="C158" t="str">
        <f t="shared" si="26"/>
        <v>Thoros Karstark</v>
      </c>
      <c r="D158" s="15" t="s">
        <v>463</v>
      </c>
      <c r="E158" s="16" t="s">
        <v>464</v>
      </c>
      <c r="F158" s="16" t="str">
        <f t="shared" si="34"/>
        <v>000.000.012-00</v>
      </c>
      <c r="G158">
        <v>53</v>
      </c>
      <c r="H158">
        <f t="shared" ca="1" si="35"/>
        <v>53</v>
      </c>
      <c r="I158" s="12">
        <v>26631</v>
      </c>
      <c r="J158" t="s">
        <v>254</v>
      </c>
      <c r="K158" t="str">
        <f t="shared" si="27"/>
        <v>Atalaia da �gua Cinzenta</v>
      </c>
      <c r="L158" t="s">
        <v>465</v>
      </c>
      <c r="M158" t="str" cm="1">
        <f t="array" ref="M158">PROPER(IF(L158&lt;&gt;"",L158,_xlfn.XLOOKUP(1,($K$2:$K$398=K158)*($L$2:$L$398&lt;&gt;""),$L$2:$L$398,"")))</f>
        <v>Gargalo</v>
      </c>
      <c r="N158" s="13">
        <v>22700</v>
      </c>
      <c r="O158">
        <f t="shared" si="36"/>
        <v>22700</v>
      </c>
      <c r="P158">
        <v>42500</v>
      </c>
      <c r="Q158" s="17">
        <f t="shared" si="28"/>
        <v>42500</v>
      </c>
      <c r="R158" t="s">
        <v>50</v>
      </c>
      <c r="S158" t="str">
        <f t="shared" si="29"/>
        <v>Sim</v>
      </c>
      <c r="T158">
        <v>25</v>
      </c>
      <c r="U158">
        <f t="shared" si="30"/>
        <v>25</v>
      </c>
      <c r="V158" t="s">
        <v>50</v>
      </c>
      <c r="W158">
        <v>86000</v>
      </c>
      <c r="X158">
        <f t="shared" si="31"/>
        <v>86000</v>
      </c>
      <c r="Y158" t="str">
        <f t="shared" si="32"/>
        <v>Médio</v>
      </c>
      <c r="Z158" t="str">
        <f>IF(AND(Y158="Alto",S158="Sim"),"Negada","Aprovada")</f>
        <v>Aprovada</v>
      </c>
      <c r="AA158" t="str">
        <f t="shared" si="33"/>
        <v>Aprovada</v>
      </c>
      <c r="AB158">
        <f>IF(AND(Z158="Negada",AA158="Negada"),"Já foi negado",IF(B158="Ativo",X158*8%,"Não liberado"))</f>
        <v>6880</v>
      </c>
    </row>
    <row r="159" spans="1:28">
      <c r="A159" t="s">
        <v>88</v>
      </c>
      <c r="B159" t="str">
        <f t="shared" si="25"/>
        <v>Ativo</v>
      </c>
      <c r="C159" t="str">
        <f t="shared" si="26"/>
        <v>Ellaria Martell</v>
      </c>
      <c r="D159" s="15" t="s">
        <v>466</v>
      </c>
      <c r="E159" s="16" t="s">
        <v>467</v>
      </c>
      <c r="F159" s="16" t="str">
        <f t="shared" si="34"/>
        <v>000.000.148-00</v>
      </c>
      <c r="G159">
        <v>48</v>
      </c>
      <c r="H159">
        <f t="shared" ca="1" si="35"/>
        <v>48</v>
      </c>
      <c r="I159" s="12">
        <v>28673</v>
      </c>
      <c r="J159" t="s">
        <v>254</v>
      </c>
      <c r="K159" t="str">
        <f t="shared" si="27"/>
        <v>Atalaia da �gua Cinzenta</v>
      </c>
      <c r="L159" t="s">
        <v>465</v>
      </c>
      <c r="M159" t="str" cm="1">
        <f t="array" ref="M159">PROPER(IF(L159&lt;&gt;"",L159,_xlfn.XLOOKUP(1,($K$2:$K$398=K159)*($L$2:$L$398&lt;&gt;""),$L$2:$L$398,"")))</f>
        <v>Gargalo</v>
      </c>
      <c r="N159" s="13">
        <v>2300</v>
      </c>
      <c r="O159">
        <f t="shared" si="36"/>
        <v>2300</v>
      </c>
      <c r="P159">
        <v>26500</v>
      </c>
      <c r="Q159" s="17">
        <f t="shared" si="28"/>
        <v>26500</v>
      </c>
      <c r="R159" t="s">
        <v>49</v>
      </c>
      <c r="S159" t="str">
        <f t="shared" si="29"/>
        <v>Não</v>
      </c>
      <c r="T159">
        <v>44</v>
      </c>
      <c r="U159">
        <f t="shared" si="30"/>
        <v>44</v>
      </c>
      <c r="V159" t="s">
        <v>49</v>
      </c>
      <c r="W159">
        <v>81000</v>
      </c>
      <c r="X159">
        <f t="shared" si="31"/>
        <v>81000</v>
      </c>
      <c r="Y159" t="str">
        <f t="shared" si="32"/>
        <v>Alto</v>
      </c>
      <c r="Z159" t="str">
        <f>IF(AND(Y159="Alto",S159="Sim"),"Negada","Aprovada")</f>
        <v>Aprovada</v>
      </c>
      <c r="AA159" t="str">
        <f t="shared" si="33"/>
        <v>Aprovada</v>
      </c>
      <c r="AB159">
        <f>IF(AND(Z159="Negada",AA159="Negada"),"Já foi negado",IF(B159="Ativo",X159*8%,"Não liberado"))</f>
        <v>6480</v>
      </c>
    </row>
    <row r="160" spans="1:28">
      <c r="A160" t="s">
        <v>93</v>
      </c>
      <c r="B160" t="str">
        <f t="shared" si="25"/>
        <v>Inativo</v>
      </c>
      <c r="C160" t="str">
        <f t="shared" si="26"/>
        <v>Yara Payne</v>
      </c>
      <c r="D160" s="15" t="s">
        <v>468</v>
      </c>
      <c r="E160" s="16" t="s">
        <v>469</v>
      </c>
      <c r="F160" s="16" t="str">
        <f t="shared" si="34"/>
        <v>000.000.250-00</v>
      </c>
      <c r="H160">
        <f t="shared" ca="1" si="35"/>
        <v>22</v>
      </c>
      <c r="I160" s="12">
        <v>38001</v>
      </c>
      <c r="J160" t="s">
        <v>171</v>
      </c>
      <c r="K160" t="str">
        <f t="shared" si="27"/>
        <v>Fosso Cailin</v>
      </c>
      <c r="L160" t="s">
        <v>164</v>
      </c>
      <c r="M160" t="str" cm="1">
        <f t="array" ref="M160">PROPER(IF(L160&lt;&gt;"",L160,_xlfn.XLOOKUP(1,($K$2:$K$398=K160)*($L$2:$L$398&lt;&gt;""),$L$2:$L$398,"")))</f>
        <v>Norte</v>
      </c>
      <c r="N160">
        <v>2100</v>
      </c>
      <c r="O160">
        <f t="shared" si="36"/>
        <v>2100</v>
      </c>
      <c r="P160">
        <v>79500</v>
      </c>
      <c r="Q160" s="17">
        <f t="shared" si="28"/>
        <v>79500</v>
      </c>
      <c r="R160" t="s">
        <v>50</v>
      </c>
      <c r="S160" t="str">
        <f t="shared" si="29"/>
        <v>Sim</v>
      </c>
      <c r="T160">
        <v>29</v>
      </c>
      <c r="U160">
        <f t="shared" si="30"/>
        <v>29</v>
      </c>
      <c r="V160" t="s">
        <v>50</v>
      </c>
      <c r="W160">
        <v>64000</v>
      </c>
      <c r="X160">
        <f t="shared" si="31"/>
        <v>64000</v>
      </c>
      <c r="Y160" t="str">
        <f t="shared" si="32"/>
        <v>Alto</v>
      </c>
      <c r="Z160" t="str">
        <f>IF(AND(Y160="Alto",S160="Sim"),"Negada","Aprovada")</f>
        <v>Negada</v>
      </c>
      <c r="AA160" t="str">
        <f t="shared" si="33"/>
        <v>Negada</v>
      </c>
      <c r="AB160" t="str">
        <f>IF(AND(Z160="Negada",AA160="Negada"),"Já foi negado",IF(B160="Ativo",X160*8%,"Não liberado"))</f>
        <v>Já foi negado</v>
      </c>
    </row>
    <row r="161" spans="1:28">
      <c r="A161" t="s">
        <v>93</v>
      </c>
      <c r="B161" t="str">
        <f t="shared" si="25"/>
        <v>Inativo</v>
      </c>
      <c r="C161" t="str">
        <f t="shared" si="26"/>
        <v>Viserys Baratheon</v>
      </c>
      <c r="D161" s="15" t="s">
        <v>470</v>
      </c>
      <c r="E161" s="16" t="s">
        <v>471</v>
      </c>
      <c r="F161" s="16" t="str">
        <f t="shared" si="34"/>
        <v>000.000.186-00</v>
      </c>
      <c r="G161">
        <v>33</v>
      </c>
      <c r="H161">
        <f t="shared" ca="1" si="35"/>
        <v>33</v>
      </c>
      <c r="I161" s="12">
        <v>33955</v>
      </c>
      <c r="J161" t="s">
        <v>179</v>
      </c>
      <c r="K161" t="str">
        <f t="shared" si="27"/>
        <v>Winterfell</v>
      </c>
      <c r="L161" t="s">
        <v>151</v>
      </c>
      <c r="M161" t="str" cm="1">
        <f t="array" ref="M161">PROPER(IF(L161&lt;&gt;"",L161,_xlfn.XLOOKUP(1,($K$2:$K$398=K161)*($L$2:$L$398&lt;&gt;""),$L$2:$L$398,"")))</f>
        <v>Norte</v>
      </c>
      <c r="N161">
        <v>25700</v>
      </c>
      <c r="O161">
        <f t="shared" si="36"/>
        <v>25700</v>
      </c>
      <c r="P161">
        <v>35000</v>
      </c>
      <c r="Q161" s="17">
        <f t="shared" si="28"/>
        <v>35000</v>
      </c>
      <c r="R161" t="s">
        <v>49</v>
      </c>
      <c r="S161" t="str">
        <f t="shared" si="29"/>
        <v>Não</v>
      </c>
      <c r="T161">
        <v>40</v>
      </c>
      <c r="U161">
        <f t="shared" si="30"/>
        <v>40</v>
      </c>
      <c r="V161" t="s">
        <v>49</v>
      </c>
      <c r="W161">
        <v>1000</v>
      </c>
      <c r="X161">
        <f t="shared" si="31"/>
        <v>1000</v>
      </c>
      <c r="Y161" t="str">
        <f t="shared" si="32"/>
        <v>Alto</v>
      </c>
      <c r="Z161" t="str">
        <f>IF(AND(Y161="Alto",S161="Sim"),"Negada","Aprovada")</f>
        <v>Aprovada</v>
      </c>
      <c r="AA161" t="str">
        <f t="shared" si="33"/>
        <v>Aprovada</v>
      </c>
      <c r="AB161" t="str">
        <f>IF(AND(Z161="Negada",AA161="Negada"),"Já foi negado",IF(B161="Ativo",X161*8%,"Não liberado"))</f>
        <v>Não liberado</v>
      </c>
    </row>
    <row r="162" spans="1:28">
      <c r="A162" t="s">
        <v>93</v>
      </c>
      <c r="B162" t="str">
        <f t="shared" si="25"/>
        <v>Inativo</v>
      </c>
      <c r="C162" t="str">
        <f t="shared" si="26"/>
        <v>Jeor Clegane</v>
      </c>
      <c r="D162" s="15" t="s">
        <v>472</v>
      </c>
      <c r="E162" s="16">
        <v>27300</v>
      </c>
      <c r="F162" s="16" t="str">
        <f t="shared" si="34"/>
        <v>000.000.273-00</v>
      </c>
      <c r="G162">
        <v>66</v>
      </c>
      <c r="H162">
        <f t="shared" ca="1" si="35"/>
        <v>66</v>
      </c>
      <c r="I162" s="12">
        <v>21873</v>
      </c>
      <c r="J162" t="s">
        <v>171</v>
      </c>
      <c r="K162" t="str">
        <f t="shared" si="27"/>
        <v>Fosso Cailin</v>
      </c>
      <c r="L162" t="s">
        <v>151</v>
      </c>
      <c r="M162" t="str" cm="1">
        <f t="array" ref="M162">PROPER(IF(L162&lt;&gt;"",L162,_xlfn.XLOOKUP(1,($K$2:$K$398=K162)*($L$2:$L$398&lt;&gt;""),$L$2:$L$398,"")))</f>
        <v>Norte</v>
      </c>
      <c r="N162" s="13">
        <v>9900</v>
      </c>
      <c r="O162">
        <f t="shared" si="36"/>
        <v>9900</v>
      </c>
      <c r="P162" t="s">
        <v>473</v>
      </c>
      <c r="Q162" s="17">
        <f t="shared" si="28"/>
        <v>42000</v>
      </c>
      <c r="R162" t="s">
        <v>49</v>
      </c>
      <c r="S162" t="str">
        <f t="shared" si="29"/>
        <v>Não</v>
      </c>
      <c r="T162">
        <v>13</v>
      </c>
      <c r="U162">
        <f t="shared" si="30"/>
        <v>13</v>
      </c>
      <c r="V162" t="s">
        <v>49</v>
      </c>
      <c r="W162">
        <v>37000</v>
      </c>
      <c r="X162">
        <f t="shared" si="31"/>
        <v>37000</v>
      </c>
      <c r="Y162" t="str">
        <f t="shared" si="32"/>
        <v>Médio</v>
      </c>
      <c r="Z162" t="str">
        <f>IF(AND(Y162="Alto",S162="Sim"),"Negada","Aprovada")</f>
        <v>Aprovada</v>
      </c>
      <c r="AA162" t="str">
        <f t="shared" si="33"/>
        <v>Aprovada</v>
      </c>
      <c r="AB162" t="str">
        <f>IF(AND(Z162="Negada",AA162="Negada"),"Já foi negado",IF(B162="Ativo",X162*8%,"Não liberado"))</f>
        <v>Não liberado</v>
      </c>
    </row>
    <row r="163" spans="1:28">
      <c r="A163" t="s">
        <v>183</v>
      </c>
      <c r="B163" t="str">
        <f t="shared" si="25"/>
        <v>Ativo</v>
      </c>
      <c r="C163" t="str">
        <f t="shared" si="26"/>
        <v>Sandor Westerling</v>
      </c>
      <c r="D163" s="15" t="s">
        <v>474</v>
      </c>
      <c r="E163" s="16">
        <v>33700</v>
      </c>
      <c r="F163" s="16" t="str">
        <f t="shared" si="34"/>
        <v>000.000.337-00</v>
      </c>
      <c r="G163">
        <v>44</v>
      </c>
      <c r="H163">
        <f t="shared" ca="1" si="35"/>
        <v>44</v>
      </c>
      <c r="I163" s="12">
        <v>30167</v>
      </c>
      <c r="J163" t="s">
        <v>157</v>
      </c>
      <c r="K163" t="str">
        <f t="shared" si="27"/>
        <v>Vilavelha</v>
      </c>
      <c r="M163" t="str" cm="1">
        <f t="array" ref="M163">PROPER(IF(L163&lt;&gt;"",L163,_xlfn.XLOOKUP(1,($K$2:$K$398=K163)*($L$2:$L$398&lt;&gt;""),$L$2:$L$398,"")))</f>
        <v>Campina</v>
      </c>
      <c r="N163">
        <v>5500</v>
      </c>
      <c r="O163">
        <f t="shared" si="36"/>
        <v>5500</v>
      </c>
      <c r="P163" s="13">
        <v>26000</v>
      </c>
      <c r="Q163" s="17">
        <f t="shared" si="28"/>
        <v>26000</v>
      </c>
      <c r="R163" t="s">
        <v>49</v>
      </c>
      <c r="S163" t="str">
        <f t="shared" si="29"/>
        <v>Não</v>
      </c>
      <c r="T163" t="s">
        <v>475</v>
      </c>
      <c r="U163">
        <f t="shared" si="30"/>
        <v>30</v>
      </c>
      <c r="V163" t="s">
        <v>49</v>
      </c>
      <c r="W163">
        <v>64000</v>
      </c>
      <c r="X163">
        <f t="shared" si="31"/>
        <v>64000</v>
      </c>
      <c r="Y163" t="str">
        <f t="shared" si="32"/>
        <v>Alto</v>
      </c>
      <c r="Z163" t="str">
        <f>IF(AND(Y163="Alto",S163="Sim"),"Negada","Aprovada")</f>
        <v>Aprovada</v>
      </c>
      <c r="AA163" t="str">
        <f t="shared" si="33"/>
        <v>Aprovada</v>
      </c>
      <c r="AB163">
        <f>IF(AND(Z163="Negada",AA163="Negada"),"Já foi negado",IF(B163="Ativo",X163*8%,"Não liberado"))</f>
        <v>5120</v>
      </c>
    </row>
    <row r="164" spans="1:28">
      <c r="A164" t="s">
        <v>93</v>
      </c>
      <c r="B164" t="str">
        <f t="shared" si="25"/>
        <v>Inativo</v>
      </c>
      <c r="C164" t="str">
        <f t="shared" si="26"/>
        <v>Gilly Frey</v>
      </c>
      <c r="D164" s="15" t="s">
        <v>476</v>
      </c>
      <c r="E164" s="16" t="s">
        <v>477</v>
      </c>
      <c r="F164" s="16" t="str">
        <f t="shared" si="34"/>
        <v>000.000.258-00</v>
      </c>
      <c r="G164">
        <v>33</v>
      </c>
      <c r="H164">
        <f t="shared" ca="1" si="35"/>
        <v>33</v>
      </c>
      <c r="I164" s="12">
        <v>34154</v>
      </c>
      <c r="J164" t="s">
        <v>150</v>
      </c>
      <c r="K164" t="str">
        <f t="shared" si="27"/>
        <v>Castelo Negro</v>
      </c>
      <c r="L164" t="s">
        <v>151</v>
      </c>
      <c r="M164" t="str" cm="1">
        <f t="array" ref="M164">PROPER(IF(L164&lt;&gt;"",L164,_xlfn.XLOOKUP(1,($K$2:$K$398=K164)*($L$2:$L$398&lt;&gt;""),$L$2:$L$398,"")))</f>
        <v>Norte</v>
      </c>
      <c r="N164">
        <v>2400</v>
      </c>
      <c r="O164">
        <f t="shared" si="36"/>
        <v>2400</v>
      </c>
      <c r="P164" s="13">
        <v>78000</v>
      </c>
      <c r="Q164" s="17">
        <f t="shared" si="28"/>
        <v>78000</v>
      </c>
      <c r="R164" t="s">
        <v>49</v>
      </c>
      <c r="S164" t="str">
        <f t="shared" si="29"/>
        <v>Não</v>
      </c>
      <c r="T164">
        <v>6</v>
      </c>
      <c r="U164">
        <f t="shared" si="30"/>
        <v>6</v>
      </c>
      <c r="V164" t="s">
        <v>49</v>
      </c>
      <c r="W164">
        <v>28000</v>
      </c>
      <c r="X164">
        <f t="shared" si="31"/>
        <v>28000</v>
      </c>
      <c r="Y164" t="str">
        <f t="shared" si="32"/>
        <v>Baixo</v>
      </c>
      <c r="Z164" t="str">
        <f>IF(AND(Y164="Alto",S164="Sim"),"Negada","Aprovada")</f>
        <v>Aprovada</v>
      </c>
      <c r="AA164" t="str">
        <f t="shared" si="33"/>
        <v>Aprovada</v>
      </c>
      <c r="AB164" t="str">
        <f>IF(AND(Z164="Negada",AA164="Negada"),"Já foi negado",IF(B164="Ativo",X164*8%,"Não liberado"))</f>
        <v>Não liberado</v>
      </c>
    </row>
    <row r="165" spans="1:28">
      <c r="A165" t="s">
        <v>88</v>
      </c>
      <c r="B165" t="str">
        <f t="shared" si="25"/>
        <v>Ativo</v>
      </c>
      <c r="C165" t="str">
        <f t="shared" si="26"/>
        <v>Loras Bracken</v>
      </c>
      <c r="D165" s="15" t="s">
        <v>478</v>
      </c>
      <c r="E165" s="16" t="s">
        <v>479</v>
      </c>
      <c r="F165" s="16" t="str">
        <f t="shared" si="34"/>
        <v>000.000.254-00</v>
      </c>
      <c r="G165">
        <v>51</v>
      </c>
      <c r="H165">
        <f t="shared" ca="1" si="35"/>
        <v>51</v>
      </c>
      <c r="I165" s="12">
        <v>27505</v>
      </c>
      <c r="J165" t="s">
        <v>480</v>
      </c>
      <c r="K165" t="str">
        <f t="shared" si="27"/>
        <v>Atalaia da �gua Cinzenta</v>
      </c>
      <c r="M165" t="str" cm="1">
        <f t="array" ref="M165">PROPER(IF(L165&lt;&gt;"",L165,_xlfn.XLOOKUP(1,($K$2:$K$398=K165)*($L$2:$L$398&lt;&gt;""),$L$2:$L$398,"")))</f>
        <v>Gargalo</v>
      </c>
      <c r="N165" s="13">
        <v>7200</v>
      </c>
      <c r="O165">
        <f t="shared" si="36"/>
        <v>7200</v>
      </c>
      <c r="P165" t="s">
        <v>481</v>
      </c>
      <c r="Q165" s="17">
        <f t="shared" si="28"/>
        <v>17500</v>
      </c>
      <c r="R165" t="s">
        <v>50</v>
      </c>
      <c r="S165" t="str">
        <f t="shared" si="29"/>
        <v>Sim</v>
      </c>
      <c r="T165">
        <v>40</v>
      </c>
      <c r="U165">
        <f t="shared" si="30"/>
        <v>40</v>
      </c>
      <c r="V165" t="s">
        <v>50</v>
      </c>
      <c r="W165">
        <v>5500</v>
      </c>
      <c r="X165">
        <f t="shared" si="31"/>
        <v>5500</v>
      </c>
      <c r="Y165" t="str">
        <f t="shared" si="32"/>
        <v>Alto</v>
      </c>
      <c r="Z165" t="str">
        <f>IF(AND(Y165="Alto",S165="Sim"),"Negada","Aprovada")</f>
        <v>Negada</v>
      </c>
      <c r="AA165" t="str">
        <f t="shared" si="33"/>
        <v>Aprovada</v>
      </c>
      <c r="AB165">
        <f>IF(AND(Z165="Negada",AA165="Negada"),"Já foi negado",IF(B165="Ativo",X165*8%,"Não liberado"))</f>
        <v>440</v>
      </c>
    </row>
    <row r="166" spans="1:28">
      <c r="A166" t="s">
        <v>93</v>
      </c>
      <c r="B166" t="str">
        <f t="shared" si="25"/>
        <v>Inativo</v>
      </c>
      <c r="C166" t="str">
        <f t="shared" si="26"/>
        <v>Varys Tallhart</v>
      </c>
      <c r="D166" s="15" t="s">
        <v>482</v>
      </c>
      <c r="F166" s="16" t="str">
        <f t="shared" si="34"/>
        <v>000.000.000-00</v>
      </c>
      <c r="G166">
        <v>61</v>
      </c>
      <c r="H166">
        <f t="shared" ca="1" si="35"/>
        <v>61</v>
      </c>
      <c r="I166" s="12">
        <v>23932</v>
      </c>
      <c r="J166" t="s">
        <v>147</v>
      </c>
      <c r="K166" t="str">
        <f t="shared" si="27"/>
        <v>Correrrio</v>
      </c>
      <c r="L166" t="s">
        <v>148</v>
      </c>
      <c r="M166" t="str" cm="1">
        <f t="array" ref="M166">PROPER(IF(L166&lt;&gt;"",L166,_xlfn.XLOOKUP(1,($K$2:$K$398=K166)*($L$2:$L$398&lt;&gt;""),$L$2:$L$398,"")))</f>
        <v>Terras Fluviais</v>
      </c>
      <c r="N166">
        <v>4100</v>
      </c>
      <c r="O166">
        <f t="shared" si="36"/>
        <v>4100</v>
      </c>
      <c r="P166">
        <v>78000</v>
      </c>
      <c r="Q166" s="17">
        <f t="shared" si="28"/>
        <v>78000</v>
      </c>
      <c r="R166" t="s">
        <v>49</v>
      </c>
      <c r="S166" t="str">
        <f t="shared" si="29"/>
        <v>Não</v>
      </c>
      <c r="T166">
        <v>25</v>
      </c>
      <c r="U166">
        <f t="shared" si="30"/>
        <v>25</v>
      </c>
      <c r="V166" t="s">
        <v>49</v>
      </c>
      <c r="W166">
        <v>48000</v>
      </c>
      <c r="X166">
        <f t="shared" si="31"/>
        <v>48000</v>
      </c>
      <c r="Y166" t="str">
        <f t="shared" si="32"/>
        <v>Médio</v>
      </c>
      <c r="Z166" t="str">
        <f>IF(AND(Y166="Alto",S166="Sim"),"Negada","Aprovada")</f>
        <v>Aprovada</v>
      </c>
      <c r="AA166" t="str">
        <f t="shared" si="33"/>
        <v>Aprovada</v>
      </c>
      <c r="AB166" t="str">
        <f>IF(AND(Z166="Negada",AA166="Negada"),"Já foi negado",IF(B166="Ativo",X166*8%,"Não liberado"))</f>
        <v>Não liberado</v>
      </c>
    </row>
    <row r="167" spans="1:28">
      <c r="A167" t="s">
        <v>88</v>
      </c>
      <c r="B167" t="str">
        <f t="shared" si="25"/>
        <v>Ativo</v>
      </c>
      <c r="C167" t="str">
        <f t="shared" si="26"/>
        <v>Roose Bracken</v>
      </c>
      <c r="D167" s="15" t="s">
        <v>483</v>
      </c>
      <c r="E167" s="16">
        <v>18800</v>
      </c>
      <c r="F167" s="16" t="str">
        <f t="shared" si="34"/>
        <v>000.000.188-00</v>
      </c>
      <c r="G167">
        <v>43</v>
      </c>
      <c r="H167">
        <f t="shared" ca="1" si="35"/>
        <v>43</v>
      </c>
      <c r="I167" s="12">
        <v>30355</v>
      </c>
      <c r="J167" t="s">
        <v>163</v>
      </c>
      <c r="K167" t="str">
        <f t="shared" si="27"/>
        <v>Ilha dos Ursos</v>
      </c>
      <c r="L167" t="s">
        <v>151</v>
      </c>
      <c r="M167" t="str" cm="1">
        <f t="array" ref="M167">PROPER(IF(L167&lt;&gt;"",L167,_xlfn.XLOOKUP(1,($K$2:$K$398=K167)*($L$2:$L$398&lt;&gt;""),$L$2:$L$398,"")))</f>
        <v>Norte</v>
      </c>
      <c r="N167" s="13">
        <v>21700</v>
      </c>
      <c r="O167">
        <f t="shared" si="36"/>
        <v>21700</v>
      </c>
      <c r="P167">
        <v>31000</v>
      </c>
      <c r="Q167" s="17">
        <f t="shared" si="28"/>
        <v>31000</v>
      </c>
      <c r="R167" t="s">
        <v>49</v>
      </c>
      <c r="S167" t="str">
        <f t="shared" si="29"/>
        <v>Não</v>
      </c>
      <c r="T167">
        <v>27</v>
      </c>
      <c r="U167">
        <f t="shared" si="30"/>
        <v>27</v>
      </c>
      <c r="V167" t="s">
        <v>49</v>
      </c>
      <c r="W167">
        <v>45500</v>
      </c>
      <c r="X167">
        <f t="shared" si="31"/>
        <v>45500</v>
      </c>
      <c r="Y167" t="str">
        <f t="shared" si="32"/>
        <v>Alto</v>
      </c>
      <c r="Z167" t="str">
        <f>IF(AND(Y167="Alto",S167="Sim"),"Negada","Aprovada")</f>
        <v>Aprovada</v>
      </c>
      <c r="AA167" t="str">
        <f t="shared" si="33"/>
        <v>Aprovada</v>
      </c>
      <c r="AB167">
        <f>IF(AND(Z167="Negada",AA167="Negada"),"Já foi negado",IF(B167="Ativo",X167*8%,"Não liberado"))</f>
        <v>3640</v>
      </c>
    </row>
    <row r="168" spans="1:28">
      <c r="A168" t="s">
        <v>88</v>
      </c>
      <c r="B168" t="str">
        <f t="shared" si="25"/>
        <v>Ativo</v>
      </c>
      <c r="C168" t="str">
        <f t="shared" si="26"/>
        <v>Varys Arryn</v>
      </c>
      <c r="D168" s="15" t="s">
        <v>484</v>
      </c>
      <c r="E168" s="16" t="s">
        <v>485</v>
      </c>
      <c r="F168" s="16" t="str">
        <f t="shared" si="34"/>
        <v>000.000.097-00</v>
      </c>
      <c r="G168">
        <v>56</v>
      </c>
      <c r="H168">
        <f t="shared" ca="1" si="35"/>
        <v>56</v>
      </c>
      <c r="I168" s="12">
        <v>25808</v>
      </c>
      <c r="J168" t="s">
        <v>157</v>
      </c>
      <c r="K168" t="str">
        <f t="shared" si="27"/>
        <v>Vilavelha</v>
      </c>
      <c r="L168" t="s">
        <v>158</v>
      </c>
      <c r="M168" t="str" cm="1">
        <f t="array" ref="M168">PROPER(IF(L168&lt;&gt;"",L168,_xlfn.XLOOKUP(1,($K$2:$K$398=K168)*($L$2:$L$398&lt;&gt;""),$L$2:$L$398,"")))</f>
        <v>Campina</v>
      </c>
      <c r="N168">
        <v>5400</v>
      </c>
      <c r="O168">
        <f t="shared" si="36"/>
        <v>5400</v>
      </c>
      <c r="P168">
        <v>61000</v>
      </c>
      <c r="Q168" s="17">
        <f t="shared" si="28"/>
        <v>61000</v>
      </c>
      <c r="R168" t="s">
        <v>49</v>
      </c>
      <c r="S168" t="str">
        <f t="shared" si="29"/>
        <v>Não</v>
      </c>
      <c r="T168">
        <v>12</v>
      </c>
      <c r="U168">
        <f t="shared" si="30"/>
        <v>12</v>
      </c>
      <c r="V168" t="s">
        <v>49</v>
      </c>
      <c r="W168">
        <v>96500</v>
      </c>
      <c r="X168">
        <f t="shared" si="31"/>
        <v>96500</v>
      </c>
      <c r="Y168" t="str">
        <f t="shared" si="32"/>
        <v>Médio</v>
      </c>
      <c r="Z168" t="str">
        <f>IF(AND(Y168="Alto",S168="Sim"),"Negada","Aprovada")</f>
        <v>Aprovada</v>
      </c>
      <c r="AA168" t="str">
        <f t="shared" si="33"/>
        <v>Aprovada</v>
      </c>
      <c r="AB168">
        <f>IF(AND(Z168="Negada",AA168="Negada"),"Já foi negado",IF(B168="Ativo",X168*8%,"Não liberado"))</f>
        <v>7720</v>
      </c>
    </row>
    <row r="169" spans="1:28">
      <c r="A169" t="s">
        <v>88</v>
      </c>
      <c r="B169" t="str">
        <f t="shared" si="25"/>
        <v>Ativo</v>
      </c>
      <c r="C169" t="str">
        <f t="shared" si="26"/>
        <v>Asha Redwyne</v>
      </c>
      <c r="D169" s="15" t="s">
        <v>486</v>
      </c>
      <c r="E169" s="16">
        <v>10200</v>
      </c>
      <c r="F169" s="16" t="str">
        <f t="shared" si="34"/>
        <v>000.000.102-00</v>
      </c>
      <c r="G169">
        <v>35</v>
      </c>
      <c r="H169">
        <f t="shared" ca="1" si="35"/>
        <v>35</v>
      </c>
      <c r="I169" s="12">
        <v>33444</v>
      </c>
      <c r="J169" t="s">
        <v>100</v>
      </c>
      <c r="K169" t="str">
        <f t="shared" si="27"/>
        <v>Pedra do Dragão</v>
      </c>
      <c r="L169" t="s">
        <v>101</v>
      </c>
      <c r="M169" t="str" cm="1">
        <f t="array" ref="M169">PROPER(IF(L169&lt;&gt;"",L169,_xlfn.XLOOKUP(1,($K$2:$K$398=K169)*($L$2:$L$398&lt;&gt;""),$L$2:$L$398,"")))</f>
        <v>Terras Da Coroa</v>
      </c>
      <c r="N169" s="14">
        <v>8400</v>
      </c>
      <c r="O169">
        <f t="shared" si="36"/>
        <v>8400</v>
      </c>
      <c r="P169">
        <v>62500</v>
      </c>
      <c r="Q169" s="17">
        <f t="shared" si="28"/>
        <v>62500</v>
      </c>
      <c r="R169" t="s">
        <v>49</v>
      </c>
      <c r="S169" t="str">
        <f t="shared" si="29"/>
        <v>Não</v>
      </c>
      <c r="T169">
        <v>31</v>
      </c>
      <c r="U169">
        <f t="shared" si="30"/>
        <v>31</v>
      </c>
      <c r="V169" t="s">
        <v>49</v>
      </c>
      <c r="W169">
        <v>83500</v>
      </c>
      <c r="X169">
        <f t="shared" si="31"/>
        <v>83500</v>
      </c>
      <c r="Y169" t="str">
        <f t="shared" si="32"/>
        <v>Alto</v>
      </c>
      <c r="Z169" t="str">
        <f>IF(AND(Y169="Alto",S169="Sim"),"Negada","Aprovada")</f>
        <v>Aprovada</v>
      </c>
      <c r="AA169" t="str">
        <f t="shared" si="33"/>
        <v>Aprovada</v>
      </c>
      <c r="AB169">
        <f>IF(AND(Z169="Negada",AA169="Negada"),"Já foi negado",IF(B169="Ativo",X169*8%,"Não liberado"))</f>
        <v>6680</v>
      </c>
    </row>
    <row r="170" spans="1:28">
      <c r="A170" t="s">
        <v>93</v>
      </c>
      <c r="B170" t="str">
        <f t="shared" si="25"/>
        <v>Inativo</v>
      </c>
      <c r="C170" t="str">
        <f t="shared" si="26"/>
        <v>Beric Tallhart</v>
      </c>
      <c r="D170" s="15" t="s">
        <v>487</v>
      </c>
      <c r="E170" s="16" t="s">
        <v>488</v>
      </c>
      <c r="F170" s="16" t="str">
        <f t="shared" si="34"/>
        <v>000.000.291-00</v>
      </c>
      <c r="G170">
        <v>44</v>
      </c>
      <c r="H170">
        <f t="shared" ca="1" si="35"/>
        <v>44</v>
      </c>
      <c r="I170" s="12">
        <v>29948</v>
      </c>
      <c r="J170" t="s">
        <v>193</v>
      </c>
      <c r="K170" t="str">
        <f t="shared" si="27"/>
        <v>Dorne</v>
      </c>
      <c r="L170" t="s">
        <v>193</v>
      </c>
      <c r="M170" t="str" cm="1">
        <f t="array" ref="M170">PROPER(IF(L170&lt;&gt;"",L170,_xlfn.XLOOKUP(1,($K$2:$K$398=K170)*($L$2:$L$398&lt;&gt;""),$L$2:$L$398,"")))</f>
        <v>Dorne</v>
      </c>
      <c r="O170" t="str">
        <f t="shared" si="36"/>
        <v>Não informado</v>
      </c>
      <c r="P170">
        <v>0</v>
      </c>
      <c r="Q170" s="17">
        <f t="shared" si="28"/>
        <v>0</v>
      </c>
      <c r="R170" t="s">
        <v>49</v>
      </c>
      <c r="S170" t="str">
        <f t="shared" si="29"/>
        <v>Não</v>
      </c>
      <c r="T170">
        <v>4</v>
      </c>
      <c r="U170">
        <f t="shared" si="30"/>
        <v>4</v>
      </c>
      <c r="V170" t="s">
        <v>49</v>
      </c>
      <c r="W170">
        <v>80000</v>
      </c>
      <c r="X170">
        <f t="shared" si="31"/>
        <v>80000</v>
      </c>
      <c r="Y170" t="str">
        <f t="shared" si="32"/>
        <v>Baixo</v>
      </c>
      <c r="Z170" t="str">
        <f>IF(AND(Y170="Alto",S170="Sim"),"Negada","Aprovada")</f>
        <v>Aprovada</v>
      </c>
      <c r="AA170" t="str">
        <f t="shared" si="33"/>
        <v>Aprovada</v>
      </c>
      <c r="AB170" t="str">
        <f>IF(AND(Z170="Negada",AA170="Negada"),"Já foi negado",IF(B170="Ativo",X170*8%,"Não liberado"))</f>
        <v>Não liberado</v>
      </c>
    </row>
    <row r="171" spans="1:28">
      <c r="A171" t="s">
        <v>93</v>
      </c>
      <c r="B171" t="str">
        <f t="shared" si="25"/>
        <v>Inativo</v>
      </c>
      <c r="C171" t="str">
        <f t="shared" si="26"/>
        <v>Margaery Cerwyn</v>
      </c>
      <c r="D171" s="15" t="s">
        <v>489</v>
      </c>
      <c r="E171" s="16" t="s">
        <v>490</v>
      </c>
      <c r="F171" s="16" t="str">
        <f t="shared" si="34"/>
        <v>000.000.211-00</v>
      </c>
      <c r="G171">
        <v>31</v>
      </c>
      <c r="H171">
        <f t="shared" ca="1" si="35"/>
        <v>31</v>
      </c>
      <c r="I171" s="12">
        <v>34738</v>
      </c>
      <c r="J171" t="s">
        <v>157</v>
      </c>
      <c r="K171" t="str">
        <f t="shared" si="27"/>
        <v>Vilavelha</v>
      </c>
      <c r="L171" t="s">
        <v>158</v>
      </c>
      <c r="M171" t="str" cm="1">
        <f t="array" ref="M171">PROPER(IF(L171&lt;&gt;"",L171,_xlfn.XLOOKUP(1,($K$2:$K$398=K171)*($L$2:$L$398&lt;&gt;""),$L$2:$L$398,"")))</f>
        <v>Campina</v>
      </c>
      <c r="N171">
        <v>22600</v>
      </c>
      <c r="O171">
        <f t="shared" si="36"/>
        <v>22600</v>
      </c>
      <c r="P171">
        <v>58000</v>
      </c>
      <c r="Q171" s="17">
        <f t="shared" si="28"/>
        <v>58000</v>
      </c>
      <c r="R171" t="s">
        <v>200</v>
      </c>
      <c r="S171" t="str">
        <f t="shared" si="29"/>
        <v>Não</v>
      </c>
      <c r="T171" t="s">
        <v>491</v>
      </c>
      <c r="U171">
        <f t="shared" si="30"/>
        <v>5</v>
      </c>
      <c r="V171" t="s">
        <v>200</v>
      </c>
      <c r="W171">
        <v>26500</v>
      </c>
      <c r="X171">
        <f t="shared" si="31"/>
        <v>26500</v>
      </c>
      <c r="Y171" t="str">
        <f t="shared" si="32"/>
        <v>Baixo</v>
      </c>
      <c r="Z171" t="str">
        <f>IF(AND(Y171="Alto",S171="Sim"),"Negada","Aprovada")</f>
        <v>Aprovada</v>
      </c>
      <c r="AA171" t="str">
        <f t="shared" si="33"/>
        <v>Aprovada</v>
      </c>
      <c r="AB171" t="str">
        <f>IF(AND(Z171="Negada",AA171="Negada"),"Já foi negado",IF(B171="Ativo",X171*8%,"Não liberado"))</f>
        <v>Não liberado</v>
      </c>
    </row>
    <row r="172" spans="1:28">
      <c r="A172" t="s">
        <v>93</v>
      </c>
      <c r="B172" t="str">
        <f t="shared" si="25"/>
        <v>Inativo</v>
      </c>
      <c r="C172" t="str">
        <f t="shared" si="26"/>
        <v>Jorah Redwyne</v>
      </c>
      <c r="D172" s="15" t="s">
        <v>225</v>
      </c>
      <c r="E172" s="16">
        <v>4000</v>
      </c>
      <c r="F172" s="16" t="str">
        <f t="shared" si="34"/>
        <v>000.000.040-00</v>
      </c>
      <c r="G172">
        <v>48</v>
      </c>
      <c r="H172">
        <f t="shared" ca="1" si="35"/>
        <v>48</v>
      </c>
      <c r="I172" s="12">
        <v>28663</v>
      </c>
      <c r="J172" t="s">
        <v>234</v>
      </c>
      <c r="K172" t="str">
        <f t="shared" si="27"/>
        <v>Porto Real</v>
      </c>
      <c r="L172" t="s">
        <v>101</v>
      </c>
      <c r="M172" t="str" cm="1">
        <f t="array" ref="M172">PROPER(IF(L172&lt;&gt;"",L172,_xlfn.XLOOKUP(1,($K$2:$K$398=K172)*($L$2:$L$398&lt;&gt;""),$L$2:$L$398,"")))</f>
        <v>Terras Da Coroa</v>
      </c>
      <c r="N172">
        <v>24700</v>
      </c>
      <c r="O172">
        <f t="shared" si="36"/>
        <v>24700</v>
      </c>
      <c r="P172">
        <v>30500</v>
      </c>
      <c r="Q172" s="17">
        <f t="shared" si="28"/>
        <v>30500</v>
      </c>
      <c r="R172" t="s">
        <v>49</v>
      </c>
      <c r="S172" t="str">
        <f t="shared" si="29"/>
        <v>Não</v>
      </c>
      <c r="T172">
        <v>34</v>
      </c>
      <c r="U172">
        <f t="shared" si="30"/>
        <v>34</v>
      </c>
      <c r="V172" t="s">
        <v>49</v>
      </c>
      <c r="W172">
        <v>87500</v>
      </c>
      <c r="X172">
        <f t="shared" si="31"/>
        <v>87500</v>
      </c>
      <c r="Y172" t="str">
        <f t="shared" si="32"/>
        <v>Alto</v>
      </c>
      <c r="Z172" t="str">
        <f>IF(AND(Y172="Alto",S172="Sim"),"Negada","Aprovada")</f>
        <v>Aprovada</v>
      </c>
      <c r="AA172" t="str">
        <f t="shared" si="33"/>
        <v>Aprovada</v>
      </c>
      <c r="AB172" t="str">
        <f>IF(AND(Z172="Negada",AA172="Negada"),"Já foi negado",IF(B172="Ativo",X172*8%,"Não liberado"))</f>
        <v>Não liberado</v>
      </c>
    </row>
    <row r="173" spans="1:28">
      <c r="A173" t="s">
        <v>93</v>
      </c>
      <c r="B173" t="str">
        <f t="shared" si="25"/>
        <v>Inativo</v>
      </c>
      <c r="C173" t="str">
        <f t="shared" si="26"/>
        <v>Loras Frey</v>
      </c>
      <c r="D173" s="15" t="s">
        <v>492</v>
      </c>
      <c r="E173" s="16" t="s">
        <v>493</v>
      </c>
      <c r="F173" s="16" t="str">
        <f t="shared" si="34"/>
        <v>000.000.017-00</v>
      </c>
      <c r="G173">
        <v>30</v>
      </c>
      <c r="H173">
        <f t="shared" ca="1" si="35"/>
        <v>30</v>
      </c>
      <c r="I173" s="12">
        <v>35213</v>
      </c>
      <c r="J173" t="s">
        <v>352</v>
      </c>
      <c r="K173" t="str">
        <f t="shared" si="27"/>
        <v>Jardim de Cima</v>
      </c>
      <c r="M173" t="str" cm="1">
        <f t="array" ref="M173">PROPER(IF(L173&lt;&gt;"",L173,_xlfn.XLOOKUP(1,($K$2:$K$398=K173)*($L$2:$L$398&lt;&gt;""),$L$2:$L$398,"")))</f>
        <v>Campina</v>
      </c>
      <c r="N173">
        <v>3900</v>
      </c>
      <c r="O173">
        <f t="shared" si="36"/>
        <v>3900</v>
      </c>
      <c r="P173">
        <v>45000</v>
      </c>
      <c r="Q173" s="17">
        <f t="shared" si="28"/>
        <v>45000</v>
      </c>
      <c r="R173" t="s">
        <v>49</v>
      </c>
      <c r="S173" t="str">
        <f t="shared" si="29"/>
        <v>Não</v>
      </c>
      <c r="T173">
        <v>34</v>
      </c>
      <c r="U173">
        <f t="shared" si="30"/>
        <v>34</v>
      </c>
      <c r="V173" t="s">
        <v>49</v>
      </c>
      <c r="W173">
        <v>41500</v>
      </c>
      <c r="X173">
        <f t="shared" si="31"/>
        <v>41500</v>
      </c>
      <c r="Y173" t="str">
        <f t="shared" si="32"/>
        <v>Alto</v>
      </c>
      <c r="Z173" t="str">
        <f>IF(AND(Y173="Alto",S173="Sim"),"Negada","Aprovada")</f>
        <v>Aprovada</v>
      </c>
      <c r="AA173" t="str">
        <f t="shared" si="33"/>
        <v>Aprovada</v>
      </c>
      <c r="AB173" t="str">
        <f>IF(AND(Z173="Negada",AA173="Negada"),"Já foi negado",IF(B173="Ativo",X173*8%,"Não liberado"))</f>
        <v>Não liberado</v>
      </c>
    </row>
    <row r="174" spans="1:28">
      <c r="A174" t="s">
        <v>93</v>
      </c>
      <c r="B174" t="str">
        <f t="shared" si="25"/>
        <v>Inativo</v>
      </c>
      <c r="C174" t="str">
        <f t="shared" si="26"/>
        <v>Bran Karstark</v>
      </c>
      <c r="D174" s="15" t="s">
        <v>494</v>
      </c>
      <c r="E174" s="16" t="s">
        <v>495</v>
      </c>
      <c r="F174" s="16" t="str">
        <f t="shared" si="34"/>
        <v>000.000.241-00</v>
      </c>
      <c r="G174">
        <v>21</v>
      </c>
      <c r="H174">
        <f t="shared" ca="1" si="35"/>
        <v>21</v>
      </c>
      <c r="I174" s="12">
        <v>38328</v>
      </c>
      <c r="J174" t="s">
        <v>121</v>
      </c>
      <c r="K174" t="str">
        <f t="shared" si="27"/>
        <v>Pyke</v>
      </c>
      <c r="L174" t="s">
        <v>274</v>
      </c>
      <c r="M174" t="str" cm="1">
        <f t="array" ref="M174">PROPER(IF(L174&lt;&gt;"",L174,_xlfn.XLOOKUP(1,($K$2:$K$398=K174)*($L$2:$L$398&lt;&gt;""),$L$2:$L$398,"")))</f>
        <v>Ilhas De Ferro</v>
      </c>
      <c r="N174">
        <v>4400</v>
      </c>
      <c r="O174">
        <f t="shared" si="36"/>
        <v>4400</v>
      </c>
      <c r="P174">
        <v>23500</v>
      </c>
      <c r="Q174" s="17">
        <f t="shared" si="28"/>
        <v>23500</v>
      </c>
      <c r="R174" t="s">
        <v>50</v>
      </c>
      <c r="S174" t="str">
        <f t="shared" si="29"/>
        <v>Sim</v>
      </c>
      <c r="T174">
        <v>31</v>
      </c>
      <c r="U174">
        <f t="shared" si="30"/>
        <v>31</v>
      </c>
      <c r="V174" t="s">
        <v>50</v>
      </c>
      <c r="W174">
        <v>91000</v>
      </c>
      <c r="X174">
        <f t="shared" si="31"/>
        <v>91000</v>
      </c>
      <c r="Y174" t="str">
        <f t="shared" si="32"/>
        <v>Alto</v>
      </c>
      <c r="Z174" t="str">
        <f>IF(AND(Y174="Alto",S174="Sim"),"Negada","Aprovada")</f>
        <v>Negada</v>
      </c>
      <c r="AA174" t="str">
        <f t="shared" si="33"/>
        <v>Aprovada</v>
      </c>
      <c r="AB174" t="str">
        <f>IF(AND(Z174="Negada",AA174="Negada"),"Já foi negado",IF(B174="Ativo",X174*8%,"Não liberado"))</f>
        <v>Não liberado</v>
      </c>
    </row>
    <row r="175" spans="1:28">
      <c r="A175" t="s">
        <v>88</v>
      </c>
      <c r="B175" t="str">
        <f t="shared" si="25"/>
        <v>Ativo</v>
      </c>
      <c r="C175" t="str">
        <f t="shared" si="26"/>
        <v>Robert Cerwyn</v>
      </c>
      <c r="D175" s="15" t="s">
        <v>496</v>
      </c>
      <c r="E175" s="16">
        <v>30000</v>
      </c>
      <c r="F175" s="16" t="str">
        <f t="shared" si="34"/>
        <v>000.000.300-00</v>
      </c>
      <c r="G175">
        <v>48</v>
      </c>
      <c r="H175">
        <f t="shared" ca="1" si="35"/>
        <v>48</v>
      </c>
      <c r="I175" s="12">
        <v>28509</v>
      </c>
      <c r="J175" t="s">
        <v>178</v>
      </c>
      <c r="K175" t="str">
        <f t="shared" si="27"/>
        <v>Harrenhal</v>
      </c>
      <c r="L175" t="s">
        <v>155</v>
      </c>
      <c r="M175" t="str" cm="1">
        <f t="array" ref="M175">PROPER(IF(L175&lt;&gt;"",L175,_xlfn.XLOOKUP(1,($K$2:$K$398=K175)*($L$2:$L$398&lt;&gt;""),$L$2:$L$398,"")))</f>
        <v>Terras Fluviais</v>
      </c>
      <c r="N175" t="s">
        <v>497</v>
      </c>
      <c r="O175">
        <f t="shared" si="36"/>
        <v>17800</v>
      </c>
      <c r="P175" s="13">
        <v>9000</v>
      </c>
      <c r="Q175" s="17">
        <f t="shared" si="28"/>
        <v>9000</v>
      </c>
      <c r="R175">
        <v>0</v>
      </c>
      <c r="S175" t="str">
        <f t="shared" si="29"/>
        <v>Não</v>
      </c>
      <c r="T175">
        <v>28</v>
      </c>
      <c r="U175">
        <f t="shared" si="30"/>
        <v>28</v>
      </c>
      <c r="V175">
        <v>0</v>
      </c>
      <c r="W175">
        <v>80000</v>
      </c>
      <c r="X175">
        <f t="shared" si="31"/>
        <v>80000</v>
      </c>
      <c r="Y175" t="str">
        <f t="shared" si="32"/>
        <v>Alto</v>
      </c>
      <c r="Z175" t="str">
        <f>IF(AND(Y175="Alto",S175="Sim"),"Negada","Aprovada")</f>
        <v>Aprovada</v>
      </c>
      <c r="AA175" t="str">
        <f t="shared" si="33"/>
        <v>Aprovada</v>
      </c>
      <c r="AB175">
        <f>IF(AND(Z175="Negada",AA175="Negada"),"Já foi negado",IF(B175="Ativo",X175*8%,"Não liberado"))</f>
        <v>6400</v>
      </c>
    </row>
    <row r="176" spans="1:28">
      <c r="A176" t="s">
        <v>88</v>
      </c>
      <c r="B176" t="str">
        <f t="shared" si="25"/>
        <v>Ativo</v>
      </c>
      <c r="C176" t="str">
        <f t="shared" si="26"/>
        <v>Thoros Yronwood</v>
      </c>
      <c r="D176" s="15" t="s">
        <v>498</v>
      </c>
      <c r="E176" s="16" t="s">
        <v>499</v>
      </c>
      <c r="F176" s="16" t="str">
        <f t="shared" si="34"/>
        <v>000.000.201-00</v>
      </c>
      <c r="H176">
        <f t="shared" ca="1" si="35"/>
        <v>55</v>
      </c>
      <c r="I176" s="12">
        <v>25925</v>
      </c>
      <c r="J176" t="s">
        <v>121</v>
      </c>
      <c r="K176" t="str">
        <f t="shared" si="27"/>
        <v>Pyke</v>
      </c>
      <c r="L176" t="s">
        <v>274</v>
      </c>
      <c r="M176" t="str" cm="1">
        <f t="array" ref="M176">PROPER(IF(L176&lt;&gt;"",L176,_xlfn.XLOOKUP(1,($K$2:$K$398=K176)*($L$2:$L$398&lt;&gt;""),$L$2:$L$398,"")))</f>
        <v>Ilhas De Ferro</v>
      </c>
      <c r="N176" s="13">
        <v>20200</v>
      </c>
      <c r="O176">
        <f t="shared" si="36"/>
        <v>20200</v>
      </c>
      <c r="P176">
        <v>61000</v>
      </c>
      <c r="Q176" s="17">
        <f t="shared" si="28"/>
        <v>61000</v>
      </c>
      <c r="R176" t="s">
        <v>49</v>
      </c>
      <c r="S176" t="str">
        <f t="shared" si="29"/>
        <v>Não</v>
      </c>
      <c r="T176">
        <v>10</v>
      </c>
      <c r="U176">
        <f t="shared" si="30"/>
        <v>10</v>
      </c>
      <c r="V176" t="s">
        <v>49</v>
      </c>
      <c r="W176">
        <v>6500</v>
      </c>
      <c r="X176">
        <f t="shared" si="31"/>
        <v>6500</v>
      </c>
      <c r="Y176" t="str">
        <f t="shared" si="32"/>
        <v>Baixo</v>
      </c>
      <c r="Z176" t="str">
        <f>IF(AND(Y176="Alto",S176="Sim"),"Negada","Aprovada")</f>
        <v>Aprovada</v>
      </c>
      <c r="AA176" t="str">
        <f t="shared" si="33"/>
        <v>Aprovada</v>
      </c>
      <c r="AB176">
        <f>IF(AND(Z176="Negada",AA176="Negada"),"Já foi negado",IF(B176="Ativo",X176*8%,"Não liberado"))</f>
        <v>520</v>
      </c>
    </row>
    <row r="177" spans="1:28">
      <c r="B177" t="str">
        <f t="shared" si="25"/>
        <v>Não informado</v>
      </c>
      <c r="C177" t="str">
        <f t="shared" si="26"/>
        <v>Bronn Umber</v>
      </c>
      <c r="D177" s="15" t="s">
        <v>500</v>
      </c>
      <c r="E177" s="16" t="s">
        <v>501</v>
      </c>
      <c r="F177" s="16" t="str">
        <f t="shared" si="34"/>
        <v>000.000.177-00</v>
      </c>
      <c r="G177">
        <v>56</v>
      </c>
      <c r="H177">
        <f t="shared" ca="1" si="35"/>
        <v>56</v>
      </c>
      <c r="I177" s="12">
        <v>25705</v>
      </c>
      <c r="J177" t="s">
        <v>234</v>
      </c>
      <c r="K177" t="str">
        <f t="shared" si="27"/>
        <v>Porto Real</v>
      </c>
      <c r="L177" t="s">
        <v>101</v>
      </c>
      <c r="M177" t="str" cm="1">
        <f t="array" ref="M177">PROPER(IF(L177&lt;&gt;"",L177,_xlfn.XLOOKUP(1,($K$2:$K$398=K177)*($L$2:$L$398&lt;&gt;""),$L$2:$L$398,"")))</f>
        <v>Terras Da Coroa</v>
      </c>
      <c r="N177" s="13">
        <v>11100</v>
      </c>
      <c r="O177">
        <f t="shared" si="36"/>
        <v>11100</v>
      </c>
      <c r="P177" s="13">
        <v>13000</v>
      </c>
      <c r="Q177" s="17">
        <f t="shared" si="28"/>
        <v>13000</v>
      </c>
      <c r="R177" t="s">
        <v>49</v>
      </c>
      <c r="S177" t="str">
        <f t="shared" si="29"/>
        <v>Não</v>
      </c>
      <c r="T177">
        <v>38</v>
      </c>
      <c r="U177">
        <f t="shared" si="30"/>
        <v>38</v>
      </c>
      <c r="V177" t="s">
        <v>49</v>
      </c>
      <c r="W177">
        <v>88000</v>
      </c>
      <c r="X177">
        <f t="shared" si="31"/>
        <v>88000</v>
      </c>
      <c r="Y177" t="str">
        <f t="shared" si="32"/>
        <v>Alto</v>
      </c>
      <c r="Z177" t="str">
        <f>IF(AND(Y177="Alto",S177="Sim"),"Negada","Aprovada")</f>
        <v>Aprovada</v>
      </c>
      <c r="AA177" t="str">
        <f t="shared" si="33"/>
        <v>Aprovada</v>
      </c>
      <c r="AB177" t="str">
        <f>IF(AND(Z177="Negada",AA177="Negada"),"Já foi negado",IF(B177="Ativo",X177*8%,"Não liberado"))</f>
        <v>Não liberado</v>
      </c>
    </row>
    <row r="178" spans="1:28">
      <c r="A178" t="s">
        <v>88</v>
      </c>
      <c r="B178" t="str">
        <f t="shared" si="25"/>
        <v>Ativo</v>
      </c>
      <c r="C178" t="str">
        <f t="shared" si="26"/>
        <v>Brienne Dayne</v>
      </c>
      <c r="D178" s="15" t="s">
        <v>502</v>
      </c>
      <c r="E178" s="16" t="s">
        <v>503</v>
      </c>
      <c r="F178" s="16" t="str">
        <f t="shared" si="34"/>
        <v>000.000.070-00</v>
      </c>
      <c r="G178">
        <v>62</v>
      </c>
      <c r="H178">
        <f t="shared" ca="1" si="35"/>
        <v>62</v>
      </c>
      <c r="I178" s="12">
        <v>23337</v>
      </c>
      <c r="J178" t="s">
        <v>100</v>
      </c>
      <c r="K178" t="str">
        <f t="shared" si="27"/>
        <v>Pedra do Dragão</v>
      </c>
      <c r="L178" t="s">
        <v>101</v>
      </c>
      <c r="M178" t="str" cm="1">
        <f t="array" ref="M178">PROPER(IF(L178&lt;&gt;"",L178,_xlfn.XLOOKUP(1,($K$2:$K$398=K178)*($L$2:$L$398&lt;&gt;""),$L$2:$L$398,"")))</f>
        <v>Terras Da Coroa</v>
      </c>
      <c r="N178">
        <v>11900</v>
      </c>
      <c r="O178">
        <f t="shared" si="36"/>
        <v>11900</v>
      </c>
      <c r="P178" s="14">
        <v>58500</v>
      </c>
      <c r="Q178" s="17">
        <f t="shared" si="28"/>
        <v>58500</v>
      </c>
      <c r="R178" t="s">
        <v>49</v>
      </c>
      <c r="S178" t="str">
        <f t="shared" si="29"/>
        <v>Não</v>
      </c>
      <c r="T178">
        <v>37</v>
      </c>
      <c r="U178">
        <f t="shared" si="30"/>
        <v>37</v>
      </c>
      <c r="V178" t="s">
        <v>49</v>
      </c>
      <c r="W178">
        <v>48000</v>
      </c>
      <c r="X178">
        <f t="shared" si="31"/>
        <v>48000</v>
      </c>
      <c r="Y178" t="str">
        <f t="shared" si="32"/>
        <v>Alto</v>
      </c>
      <c r="Z178" t="str">
        <f>IF(AND(Y178="Alto",S178="Sim"),"Negada","Aprovada")</f>
        <v>Aprovada</v>
      </c>
      <c r="AA178" t="str">
        <f t="shared" si="33"/>
        <v>Aprovada</v>
      </c>
      <c r="AB178">
        <f>IF(AND(Z178="Negada",AA178="Negada"),"Já foi negado",IF(B178="Ativo",X178*8%,"Não liberado"))</f>
        <v>3840</v>
      </c>
    </row>
    <row r="179" spans="1:28">
      <c r="A179" t="s">
        <v>88</v>
      </c>
      <c r="B179" t="str">
        <f t="shared" si="25"/>
        <v>Ativo</v>
      </c>
      <c r="C179" t="str">
        <f t="shared" si="26"/>
        <v>Bronn Bolton</v>
      </c>
      <c r="D179" s="15" t="s">
        <v>504</v>
      </c>
      <c r="E179" s="16" t="s">
        <v>505</v>
      </c>
      <c r="F179" s="16" t="str">
        <f t="shared" si="34"/>
        <v>000.000.143-00</v>
      </c>
      <c r="G179">
        <v>26</v>
      </c>
      <c r="H179">
        <f t="shared" ca="1" si="35"/>
        <v>26</v>
      </c>
      <c r="I179" s="12">
        <v>36619</v>
      </c>
      <c r="J179" t="s">
        <v>178</v>
      </c>
      <c r="K179" t="str">
        <f t="shared" si="27"/>
        <v>Harrenhal</v>
      </c>
      <c r="L179" t="s">
        <v>148</v>
      </c>
      <c r="M179" t="str" cm="1">
        <f t="array" ref="M179">PROPER(IF(L179&lt;&gt;"",L179,_xlfn.XLOOKUP(1,($K$2:$K$398=K179)*($L$2:$L$398&lt;&gt;""),$L$2:$L$398,"")))</f>
        <v>Terras Fluviais</v>
      </c>
      <c r="N179" t="s">
        <v>506</v>
      </c>
      <c r="O179">
        <f t="shared" si="36"/>
        <v>26800</v>
      </c>
      <c r="P179">
        <v>42500</v>
      </c>
      <c r="Q179" s="17">
        <f t="shared" si="28"/>
        <v>42500</v>
      </c>
      <c r="R179" t="s">
        <v>50</v>
      </c>
      <c r="S179" t="str">
        <f t="shared" si="29"/>
        <v>Sim</v>
      </c>
      <c r="T179">
        <v>29</v>
      </c>
      <c r="U179">
        <f t="shared" si="30"/>
        <v>29</v>
      </c>
      <c r="V179" t="s">
        <v>50</v>
      </c>
      <c r="W179">
        <v>66000</v>
      </c>
      <c r="X179">
        <f t="shared" si="31"/>
        <v>66000</v>
      </c>
      <c r="Y179" t="str">
        <f t="shared" si="32"/>
        <v>Alto</v>
      </c>
      <c r="Z179" t="str">
        <f>IF(AND(Y179="Alto",S179="Sim"),"Negada","Aprovada")</f>
        <v>Negada</v>
      </c>
      <c r="AA179" t="str">
        <f t="shared" si="33"/>
        <v>Aprovada</v>
      </c>
      <c r="AB179">
        <f>IF(AND(Z179="Negada",AA179="Negada"),"Já foi negado",IF(B179="Ativo",X179*8%,"Não liberado"))</f>
        <v>5280</v>
      </c>
    </row>
    <row r="180" spans="1:28">
      <c r="A180" t="s">
        <v>88</v>
      </c>
      <c r="B180" t="str">
        <f t="shared" si="25"/>
        <v>Ativo</v>
      </c>
      <c r="C180" t="str">
        <f t="shared" si="26"/>
        <v>Rhaegar Hornwood</v>
      </c>
      <c r="D180" s="15" t="s">
        <v>507</v>
      </c>
      <c r="E180" s="16" t="s">
        <v>508</v>
      </c>
      <c r="F180" s="16" t="str">
        <f t="shared" si="34"/>
        <v>000.000.178-00</v>
      </c>
      <c r="G180">
        <v>30</v>
      </c>
      <c r="H180">
        <f t="shared" ca="1" si="35"/>
        <v>30</v>
      </c>
      <c r="I180" s="12">
        <v>35109</v>
      </c>
      <c r="J180" t="s">
        <v>95</v>
      </c>
      <c r="K180" t="str">
        <f t="shared" si="27"/>
        <v>Ponta Tempestade</v>
      </c>
      <c r="L180" t="s">
        <v>144</v>
      </c>
      <c r="M180" t="str" cm="1">
        <f t="array" ref="M180">PROPER(IF(L180&lt;&gt;"",L180,_xlfn.XLOOKUP(1,($K$2:$K$398=K180)*($L$2:$L$398&lt;&gt;""),$L$2:$L$398,"")))</f>
        <v>Terras Da Tempestade</v>
      </c>
      <c r="N180">
        <v>2600</v>
      </c>
      <c r="O180">
        <f t="shared" si="36"/>
        <v>2600</v>
      </c>
      <c r="P180">
        <v>62000</v>
      </c>
      <c r="Q180" s="17">
        <f t="shared" si="28"/>
        <v>62000</v>
      </c>
      <c r="R180" t="s">
        <v>49</v>
      </c>
      <c r="S180" t="str">
        <f t="shared" si="29"/>
        <v>Não</v>
      </c>
      <c r="T180">
        <v>22</v>
      </c>
      <c r="U180">
        <f t="shared" si="30"/>
        <v>22</v>
      </c>
      <c r="V180" t="s">
        <v>49</v>
      </c>
      <c r="W180">
        <v>62000</v>
      </c>
      <c r="X180">
        <f t="shared" si="31"/>
        <v>62000</v>
      </c>
      <c r="Y180" t="str">
        <f t="shared" si="32"/>
        <v>Médio</v>
      </c>
      <c r="Z180" t="str">
        <f>IF(AND(Y180="Alto",S180="Sim"),"Negada","Aprovada")</f>
        <v>Aprovada</v>
      </c>
      <c r="AA180" t="str">
        <f t="shared" si="33"/>
        <v>Aprovada</v>
      </c>
      <c r="AB180">
        <f>IF(AND(Z180="Negada",AA180="Negada"),"Já foi negado",IF(B180="Ativo",X180*8%,"Não liberado"))</f>
        <v>4960</v>
      </c>
    </row>
    <row r="181" spans="1:28">
      <c r="A181" t="s">
        <v>88</v>
      </c>
      <c r="B181" t="str">
        <f t="shared" si="25"/>
        <v>Ativo</v>
      </c>
      <c r="C181" t="str">
        <f t="shared" si="26"/>
        <v>Meera Tarly</v>
      </c>
      <c r="D181" s="15" t="s">
        <v>509</v>
      </c>
      <c r="E181" s="16" t="s">
        <v>510</v>
      </c>
      <c r="F181" s="16" t="str">
        <f t="shared" si="34"/>
        <v>000.000.326-00</v>
      </c>
      <c r="H181">
        <f t="shared" ca="1" si="35"/>
        <v>74</v>
      </c>
      <c r="I181" s="12">
        <v>19168</v>
      </c>
      <c r="J181" t="s">
        <v>121</v>
      </c>
      <c r="K181" t="str">
        <f t="shared" si="27"/>
        <v>Pyke</v>
      </c>
      <c r="L181" t="s">
        <v>141</v>
      </c>
      <c r="M181" t="str" cm="1">
        <f t="array" ref="M181">PROPER(IF(L181&lt;&gt;"",L181,_xlfn.XLOOKUP(1,($K$2:$K$398=K181)*($L$2:$L$398&lt;&gt;""),$L$2:$L$398,"")))</f>
        <v>Ilhas De Ferro</v>
      </c>
      <c r="N181">
        <v>25000</v>
      </c>
      <c r="O181">
        <f t="shared" si="36"/>
        <v>25000</v>
      </c>
      <c r="P181">
        <v>0</v>
      </c>
      <c r="Q181" s="17">
        <f t="shared" si="28"/>
        <v>0</v>
      </c>
      <c r="R181" t="s">
        <v>49</v>
      </c>
      <c r="S181" t="str">
        <f t="shared" si="29"/>
        <v>Não</v>
      </c>
      <c r="T181">
        <v>3</v>
      </c>
      <c r="U181">
        <f t="shared" si="30"/>
        <v>3</v>
      </c>
      <c r="V181" t="s">
        <v>49</v>
      </c>
      <c r="W181">
        <v>2500</v>
      </c>
      <c r="X181">
        <f t="shared" si="31"/>
        <v>2500</v>
      </c>
      <c r="Y181" t="str">
        <f t="shared" si="32"/>
        <v>Baixo</v>
      </c>
      <c r="Z181" t="str">
        <f>IF(AND(Y181="Alto",S181="Sim"),"Negada","Aprovada")</f>
        <v>Aprovada</v>
      </c>
      <c r="AA181" t="str">
        <f t="shared" si="33"/>
        <v>Aprovada</v>
      </c>
      <c r="AB181">
        <f>IF(AND(Z181="Negada",AA181="Negada"),"Já foi negado",IF(B181="Ativo",X181*8%,"Não liberado"))</f>
        <v>200</v>
      </c>
    </row>
    <row r="182" spans="1:28">
      <c r="A182" t="s">
        <v>93</v>
      </c>
      <c r="B182" t="str">
        <f t="shared" si="25"/>
        <v>Inativo</v>
      </c>
      <c r="C182" t="str">
        <f t="shared" si="26"/>
        <v>Thoros Hornwood</v>
      </c>
      <c r="D182" s="15" t="s">
        <v>511</v>
      </c>
      <c r="E182" s="16" t="s">
        <v>512</v>
      </c>
      <c r="F182" s="16" t="str">
        <f t="shared" si="34"/>
        <v>000.000.245-00</v>
      </c>
      <c r="G182">
        <v>65</v>
      </c>
      <c r="H182">
        <f t="shared" ca="1" si="35"/>
        <v>65</v>
      </c>
      <c r="I182" s="12">
        <v>22205</v>
      </c>
      <c r="J182" t="s">
        <v>150</v>
      </c>
      <c r="K182" t="str">
        <f t="shared" si="27"/>
        <v>Castelo Negro</v>
      </c>
      <c r="L182" t="s">
        <v>151</v>
      </c>
      <c r="M182" t="str" cm="1">
        <f t="array" ref="M182">PROPER(IF(L182&lt;&gt;"",L182,_xlfn.XLOOKUP(1,($K$2:$K$398=K182)*($L$2:$L$398&lt;&gt;""),$L$2:$L$398,"")))</f>
        <v>Norte</v>
      </c>
      <c r="N182">
        <v>19800</v>
      </c>
      <c r="O182">
        <f t="shared" si="36"/>
        <v>19800</v>
      </c>
      <c r="P182" s="14">
        <v>78500</v>
      </c>
      <c r="Q182" s="17">
        <f t="shared" si="28"/>
        <v>78500</v>
      </c>
      <c r="R182" t="s">
        <v>49</v>
      </c>
      <c r="S182" t="str">
        <f t="shared" si="29"/>
        <v>Não</v>
      </c>
      <c r="T182">
        <v>34</v>
      </c>
      <c r="U182">
        <f t="shared" si="30"/>
        <v>34</v>
      </c>
      <c r="V182" t="s">
        <v>49</v>
      </c>
      <c r="W182">
        <v>23000</v>
      </c>
      <c r="X182">
        <f t="shared" si="31"/>
        <v>23000</v>
      </c>
      <c r="Y182" t="str">
        <f t="shared" si="32"/>
        <v>Alto</v>
      </c>
      <c r="Z182" t="str">
        <f>IF(AND(Y182="Alto",S182="Sim"),"Negada","Aprovada")</f>
        <v>Aprovada</v>
      </c>
      <c r="AA182" t="str">
        <f t="shared" si="33"/>
        <v>Aprovada</v>
      </c>
      <c r="AB182" t="str">
        <f>IF(AND(Z182="Negada",AA182="Negada"),"Já foi negado",IF(B182="Ativo",X182*8%,"Não liberado"))</f>
        <v>Não liberado</v>
      </c>
    </row>
    <row r="183" spans="1:28">
      <c r="A183" t="s">
        <v>93</v>
      </c>
      <c r="B183" t="str">
        <f t="shared" si="25"/>
        <v>Inativo</v>
      </c>
      <c r="C183" t="str">
        <f t="shared" si="26"/>
        <v>Jeor Martell</v>
      </c>
      <c r="D183" s="15" t="s">
        <v>513</v>
      </c>
      <c r="E183" s="16" t="s">
        <v>514</v>
      </c>
      <c r="F183" s="16" t="str">
        <f t="shared" si="34"/>
        <v>000.000.061-00</v>
      </c>
      <c r="G183">
        <v>58</v>
      </c>
      <c r="H183">
        <f t="shared" ca="1" si="35"/>
        <v>58</v>
      </c>
      <c r="I183" s="12">
        <v>24726</v>
      </c>
      <c r="J183" t="s">
        <v>130</v>
      </c>
      <c r="K183" t="str">
        <f t="shared" si="27"/>
        <v>Meereen</v>
      </c>
      <c r="L183" t="s">
        <v>131</v>
      </c>
      <c r="M183" t="str" cm="1">
        <f t="array" ref="M183">PROPER(IF(L183&lt;&gt;"",L183,_xlfn.XLOOKUP(1,($K$2:$K$398=K183)*($L$2:$L$398&lt;&gt;""),$L$2:$L$398,"")))</f>
        <v>Essos</v>
      </c>
      <c r="N183" t="s">
        <v>515</v>
      </c>
      <c r="O183">
        <f t="shared" si="36"/>
        <v>20100</v>
      </c>
      <c r="P183">
        <v>40000</v>
      </c>
      <c r="Q183" s="17">
        <f t="shared" si="28"/>
        <v>40000</v>
      </c>
      <c r="R183" t="s">
        <v>49</v>
      </c>
      <c r="S183" t="str">
        <f t="shared" si="29"/>
        <v>Não</v>
      </c>
      <c r="T183">
        <v>16</v>
      </c>
      <c r="U183">
        <f t="shared" si="30"/>
        <v>16</v>
      </c>
      <c r="V183" t="s">
        <v>49</v>
      </c>
      <c r="W183">
        <v>98500</v>
      </c>
      <c r="X183">
        <f t="shared" si="31"/>
        <v>98500</v>
      </c>
      <c r="Y183" t="str">
        <f t="shared" si="32"/>
        <v>Médio</v>
      </c>
      <c r="Z183" t="str">
        <f>IF(AND(Y183="Alto",S183="Sim"),"Negada","Aprovada")</f>
        <v>Aprovada</v>
      </c>
      <c r="AA183" t="str">
        <f t="shared" si="33"/>
        <v>Aprovada</v>
      </c>
      <c r="AB183" t="str">
        <f>IF(AND(Z183="Negada",AA183="Negada"),"Já foi negado",IF(B183="Ativo",X183*8%,"Não liberado"))</f>
        <v>Não liberado</v>
      </c>
    </row>
    <row r="184" spans="1:28">
      <c r="A184" t="s">
        <v>88</v>
      </c>
      <c r="B184" t="str">
        <f t="shared" si="25"/>
        <v>Ativo</v>
      </c>
      <c r="C184" t="str">
        <f t="shared" si="26"/>
        <v>Lyanna Stark</v>
      </c>
      <c r="D184" s="15" t="s">
        <v>516</v>
      </c>
      <c r="E184" s="16" t="s">
        <v>517</v>
      </c>
      <c r="F184" s="16" t="str">
        <f t="shared" si="34"/>
        <v>000.000.023-00</v>
      </c>
      <c r="G184">
        <v>45</v>
      </c>
      <c r="H184">
        <f t="shared" ca="1" si="35"/>
        <v>45</v>
      </c>
      <c r="I184" s="12">
        <v>29769</v>
      </c>
      <c r="J184" t="s">
        <v>95</v>
      </c>
      <c r="K184" t="str">
        <f t="shared" si="27"/>
        <v>Ponta Tempestade</v>
      </c>
      <c r="L184" t="s">
        <v>197</v>
      </c>
      <c r="M184" t="str" cm="1">
        <f t="array" ref="M184">PROPER(IF(L184&lt;&gt;"",L184,_xlfn.XLOOKUP(1,($K$2:$K$398=K184)*($L$2:$L$398&lt;&gt;""),$L$2:$L$398,"")))</f>
        <v>Terras Da Tempestade</v>
      </c>
      <c r="N184">
        <v>24400</v>
      </c>
      <c r="O184">
        <f t="shared" si="36"/>
        <v>24400</v>
      </c>
      <c r="P184" s="13">
        <v>7500</v>
      </c>
      <c r="Q184" s="17">
        <f t="shared" si="28"/>
        <v>7500</v>
      </c>
      <c r="R184" t="s">
        <v>200</v>
      </c>
      <c r="S184" t="str">
        <f t="shared" si="29"/>
        <v>Não</v>
      </c>
      <c r="T184">
        <v>13</v>
      </c>
      <c r="U184">
        <f t="shared" si="30"/>
        <v>13</v>
      </c>
      <c r="V184" t="s">
        <v>200</v>
      </c>
      <c r="W184">
        <v>95000</v>
      </c>
      <c r="X184">
        <f t="shared" si="31"/>
        <v>95000</v>
      </c>
      <c r="Y184" t="str">
        <f t="shared" si="32"/>
        <v>Médio</v>
      </c>
      <c r="Z184" t="str">
        <f>IF(AND(Y184="Alto",S184="Sim"),"Negada","Aprovada")</f>
        <v>Aprovada</v>
      </c>
      <c r="AA184" t="str">
        <f t="shared" si="33"/>
        <v>Aprovada</v>
      </c>
      <c r="AB184">
        <f>IF(AND(Z184="Negada",AA184="Negada"),"Já foi negado",IF(B184="Ativo",X184*8%,"Não liberado"))</f>
        <v>7600</v>
      </c>
    </row>
    <row r="185" spans="1:28">
      <c r="A185" t="s">
        <v>88</v>
      </c>
      <c r="B185" t="str">
        <f t="shared" si="25"/>
        <v>Ativo</v>
      </c>
      <c r="C185" t="str">
        <f t="shared" si="26"/>
        <v>Rhaegar Tallhart</v>
      </c>
      <c r="D185" s="15" t="s">
        <v>518</v>
      </c>
      <c r="E185" s="16">
        <v>34800</v>
      </c>
      <c r="F185" s="16" t="str">
        <f t="shared" si="34"/>
        <v>000.000.348-00</v>
      </c>
      <c r="G185">
        <v>26</v>
      </c>
      <c r="H185">
        <f t="shared" ca="1" si="35"/>
        <v>26</v>
      </c>
      <c r="I185" s="12">
        <v>36596</v>
      </c>
      <c r="J185" t="s">
        <v>163</v>
      </c>
      <c r="K185" t="str">
        <f t="shared" si="27"/>
        <v>Ilha dos Ursos</v>
      </c>
      <c r="L185" t="s">
        <v>186</v>
      </c>
      <c r="M185" t="str" cm="1">
        <f t="array" ref="M185">PROPER(IF(L185&lt;&gt;"",L185,_xlfn.XLOOKUP(1,($K$2:$K$398=K185)*($L$2:$L$398&lt;&gt;""),$L$2:$L$398,"")))</f>
        <v>Norte</v>
      </c>
      <c r="N185">
        <v>3500</v>
      </c>
      <c r="O185">
        <f t="shared" si="36"/>
        <v>3500</v>
      </c>
      <c r="P185">
        <v>50000</v>
      </c>
      <c r="Q185" s="17">
        <f t="shared" si="28"/>
        <v>50000</v>
      </c>
      <c r="R185">
        <v>0</v>
      </c>
      <c r="S185" t="str">
        <f t="shared" si="29"/>
        <v>Não</v>
      </c>
      <c r="T185">
        <v>40</v>
      </c>
      <c r="U185">
        <f t="shared" si="30"/>
        <v>40</v>
      </c>
      <c r="V185">
        <v>0</v>
      </c>
      <c r="W185">
        <v>46500</v>
      </c>
      <c r="X185">
        <f t="shared" si="31"/>
        <v>46500</v>
      </c>
      <c r="Y185" t="str">
        <f t="shared" si="32"/>
        <v>Alto</v>
      </c>
      <c r="Z185" t="str">
        <f>IF(AND(Y185="Alto",S185="Sim"),"Negada","Aprovada")</f>
        <v>Aprovada</v>
      </c>
      <c r="AA185" t="str">
        <f t="shared" si="33"/>
        <v>Aprovada</v>
      </c>
      <c r="AB185">
        <f>IF(AND(Z185="Negada",AA185="Negada"),"Já foi negado",IF(B185="Ativo",X185*8%,"Não liberado"))</f>
        <v>3720</v>
      </c>
    </row>
    <row r="186" spans="1:28">
      <c r="A186" t="s">
        <v>88</v>
      </c>
      <c r="B186" t="str">
        <f t="shared" si="25"/>
        <v>Ativo</v>
      </c>
      <c r="C186" t="str">
        <f t="shared" si="26"/>
        <v>Petyr Greyjoy</v>
      </c>
      <c r="D186" s="15" t="s">
        <v>519</v>
      </c>
      <c r="E186" s="16" t="s">
        <v>520</v>
      </c>
      <c r="F186" s="16" t="str">
        <f t="shared" si="34"/>
        <v>000.000.301-00</v>
      </c>
      <c r="G186">
        <v>42</v>
      </c>
      <c r="H186">
        <f t="shared" ca="1" si="35"/>
        <v>42</v>
      </c>
      <c r="I186" s="12">
        <v>30898</v>
      </c>
      <c r="J186" t="s">
        <v>113</v>
      </c>
      <c r="K186" t="str">
        <f t="shared" si="27"/>
        <v>Lannisporto</v>
      </c>
      <c r="M186" t="str" cm="1">
        <f t="array" ref="M186">PROPER(IF(L186&lt;&gt;"",L186,_xlfn.XLOOKUP(1,($K$2:$K$398=K186)*($L$2:$L$398&lt;&gt;""),$L$2:$L$398,"")))</f>
        <v>Oeste</v>
      </c>
      <c r="N186">
        <v>20800</v>
      </c>
      <c r="O186">
        <f t="shared" si="36"/>
        <v>20800</v>
      </c>
      <c r="P186" s="13">
        <v>54000</v>
      </c>
      <c r="Q186" s="17">
        <f t="shared" si="28"/>
        <v>54000</v>
      </c>
      <c r="R186" t="s">
        <v>49</v>
      </c>
      <c r="S186" t="str">
        <f t="shared" si="29"/>
        <v>Não</v>
      </c>
      <c r="T186">
        <v>4</v>
      </c>
      <c r="U186">
        <f t="shared" si="30"/>
        <v>4</v>
      </c>
      <c r="V186" t="s">
        <v>49</v>
      </c>
      <c r="W186">
        <v>73500</v>
      </c>
      <c r="X186">
        <f t="shared" si="31"/>
        <v>73500</v>
      </c>
      <c r="Y186" t="str">
        <f t="shared" si="32"/>
        <v>Baixo</v>
      </c>
      <c r="Z186" t="str">
        <f>IF(AND(Y186="Alto",S186="Sim"),"Negada","Aprovada")</f>
        <v>Aprovada</v>
      </c>
      <c r="AA186" t="str">
        <f t="shared" si="33"/>
        <v>Aprovada</v>
      </c>
      <c r="AB186">
        <f>IF(AND(Z186="Negada",AA186="Negada"),"Já foi negado",IF(B186="Ativo",X186*8%,"Não liberado"))</f>
        <v>5880</v>
      </c>
    </row>
    <row r="187" spans="1:28">
      <c r="A187" t="s">
        <v>93</v>
      </c>
      <c r="B187" t="str">
        <f t="shared" si="25"/>
        <v>Inativo</v>
      </c>
      <c r="C187" t="str">
        <f t="shared" si="26"/>
        <v>Renly Redwyne</v>
      </c>
      <c r="D187" s="15" t="s">
        <v>521</v>
      </c>
      <c r="E187" s="16" t="s">
        <v>522</v>
      </c>
      <c r="F187" s="16" t="str">
        <f t="shared" si="34"/>
        <v>000.000.045-00</v>
      </c>
      <c r="G187">
        <v>66</v>
      </c>
      <c r="H187">
        <f t="shared" ca="1" si="35"/>
        <v>66</v>
      </c>
      <c r="I187" s="12">
        <v>21954</v>
      </c>
      <c r="J187" t="s">
        <v>234</v>
      </c>
      <c r="K187" t="str">
        <f t="shared" si="27"/>
        <v>Porto Real</v>
      </c>
      <c r="L187" t="s">
        <v>174</v>
      </c>
      <c r="M187" t="str" cm="1">
        <f t="array" ref="M187">PROPER(IF(L187&lt;&gt;"",L187,_xlfn.XLOOKUP(1,($K$2:$K$398=K187)*($L$2:$L$398&lt;&gt;""),$L$2:$L$398,"")))</f>
        <v>Terras Da Coroa</v>
      </c>
      <c r="N187">
        <v>3400</v>
      </c>
      <c r="O187">
        <f t="shared" si="36"/>
        <v>3400</v>
      </c>
      <c r="P187">
        <v>78000</v>
      </c>
      <c r="Q187" s="17">
        <f t="shared" si="28"/>
        <v>78000</v>
      </c>
      <c r="R187" t="s">
        <v>49</v>
      </c>
      <c r="S187" t="str">
        <f t="shared" si="29"/>
        <v>Não</v>
      </c>
      <c r="T187">
        <v>9</v>
      </c>
      <c r="U187">
        <f t="shared" si="30"/>
        <v>9</v>
      </c>
      <c r="V187" t="s">
        <v>49</v>
      </c>
      <c r="W187">
        <v>51500</v>
      </c>
      <c r="X187">
        <f t="shared" si="31"/>
        <v>51500</v>
      </c>
      <c r="Y187" t="str">
        <f t="shared" si="32"/>
        <v>Baixo</v>
      </c>
      <c r="Z187" t="str">
        <f>IF(AND(Y187="Alto",S187="Sim"),"Negada","Aprovada")</f>
        <v>Aprovada</v>
      </c>
      <c r="AA187" t="str">
        <f t="shared" si="33"/>
        <v>Aprovada</v>
      </c>
      <c r="AB187" t="str">
        <f>IF(AND(Z187="Negada",AA187="Negada"),"Já foi negado",IF(B187="Ativo",X187*8%,"Não liberado"))</f>
        <v>Não liberado</v>
      </c>
    </row>
    <row r="188" spans="1:28">
      <c r="A188" t="s">
        <v>93</v>
      </c>
      <c r="B188" t="str">
        <f t="shared" si="25"/>
        <v>Inativo</v>
      </c>
      <c r="C188" t="str">
        <f t="shared" si="26"/>
        <v>Asha Arryn</v>
      </c>
      <c r="D188" s="15" t="s">
        <v>523</v>
      </c>
      <c r="E188" s="16" t="s">
        <v>524</v>
      </c>
      <c r="F188" s="16" t="str">
        <f t="shared" si="34"/>
        <v>000.000.122-00</v>
      </c>
      <c r="G188">
        <v>49</v>
      </c>
      <c r="H188">
        <f t="shared" ca="1" si="35"/>
        <v>49</v>
      </c>
      <c r="I188" s="12">
        <v>28049</v>
      </c>
      <c r="J188" t="s">
        <v>150</v>
      </c>
      <c r="K188" t="str">
        <f t="shared" si="27"/>
        <v>Castelo Negro</v>
      </c>
      <c r="L188" t="s">
        <v>151</v>
      </c>
      <c r="M188" t="str" cm="1">
        <f t="array" ref="M188">PROPER(IF(L188&lt;&gt;"",L188,_xlfn.XLOOKUP(1,($K$2:$K$398=K188)*($L$2:$L$398&lt;&gt;""),$L$2:$L$398,"")))</f>
        <v>Norte</v>
      </c>
      <c r="N188">
        <v>25200</v>
      </c>
      <c r="O188">
        <f t="shared" si="36"/>
        <v>25200</v>
      </c>
      <c r="P188">
        <v>59500</v>
      </c>
      <c r="Q188" s="17">
        <f t="shared" si="28"/>
        <v>59500</v>
      </c>
      <c r="R188" t="s">
        <v>49</v>
      </c>
      <c r="S188" t="str">
        <f t="shared" si="29"/>
        <v>Não</v>
      </c>
      <c r="T188">
        <v>37</v>
      </c>
      <c r="U188">
        <f t="shared" si="30"/>
        <v>37</v>
      </c>
      <c r="V188" t="s">
        <v>49</v>
      </c>
      <c r="W188">
        <v>86500</v>
      </c>
      <c r="X188">
        <f t="shared" si="31"/>
        <v>86500</v>
      </c>
      <c r="Y188" t="str">
        <f t="shared" si="32"/>
        <v>Alto</v>
      </c>
      <c r="Z188" t="str">
        <f>IF(AND(Y188="Alto",S188="Sim"),"Negada","Aprovada")</f>
        <v>Aprovada</v>
      </c>
      <c r="AA188" t="str">
        <f t="shared" si="33"/>
        <v>Aprovada</v>
      </c>
      <c r="AB188" t="str">
        <f>IF(AND(Z188="Negada",AA188="Negada"),"Já foi negado",IF(B188="Ativo",X188*8%,"Não liberado"))</f>
        <v>Não liberado</v>
      </c>
    </row>
    <row r="189" spans="1:28">
      <c r="A189" t="s">
        <v>88</v>
      </c>
      <c r="B189" t="str">
        <f t="shared" si="25"/>
        <v>Ativo</v>
      </c>
      <c r="C189" t="str">
        <f t="shared" si="26"/>
        <v>Podrick Florent</v>
      </c>
      <c r="D189" s="15" t="s">
        <v>525</v>
      </c>
      <c r="E189" s="16" t="s">
        <v>526</v>
      </c>
      <c r="F189" s="16" t="str">
        <f t="shared" si="34"/>
        <v>000.000.354-00</v>
      </c>
      <c r="G189">
        <v>60</v>
      </c>
      <c r="H189">
        <f t="shared" ca="1" si="35"/>
        <v>60</v>
      </c>
      <c r="I189" s="12">
        <v>24021</v>
      </c>
      <c r="J189" t="s">
        <v>179</v>
      </c>
      <c r="K189" t="str">
        <f t="shared" si="27"/>
        <v>Winterfell</v>
      </c>
      <c r="L189" t="s">
        <v>164</v>
      </c>
      <c r="M189" t="str" cm="1">
        <f t="array" ref="M189">PROPER(IF(L189&lt;&gt;"",L189,_xlfn.XLOOKUP(1,($K$2:$K$398=K189)*($L$2:$L$398&lt;&gt;""),$L$2:$L$398,"")))</f>
        <v>Norte</v>
      </c>
      <c r="N189">
        <v>22900</v>
      </c>
      <c r="O189">
        <f t="shared" si="36"/>
        <v>22900</v>
      </c>
      <c r="P189">
        <v>4500</v>
      </c>
      <c r="Q189" s="17">
        <f t="shared" si="28"/>
        <v>4500</v>
      </c>
      <c r="R189" t="s">
        <v>50</v>
      </c>
      <c r="S189" t="str">
        <f t="shared" si="29"/>
        <v>Sim</v>
      </c>
      <c r="T189">
        <v>29</v>
      </c>
      <c r="U189">
        <f t="shared" si="30"/>
        <v>29</v>
      </c>
      <c r="V189" t="s">
        <v>50</v>
      </c>
      <c r="W189">
        <v>43500</v>
      </c>
      <c r="X189">
        <f t="shared" si="31"/>
        <v>43500</v>
      </c>
      <c r="Y189" t="str">
        <f t="shared" si="32"/>
        <v>Alto</v>
      </c>
      <c r="Z189" t="str">
        <f>IF(AND(Y189="Alto",S189="Sim"),"Negada","Aprovada")</f>
        <v>Negada</v>
      </c>
      <c r="AA189" t="str">
        <f t="shared" si="33"/>
        <v>Aprovada</v>
      </c>
      <c r="AB189">
        <f>IF(AND(Z189="Negada",AA189="Negada"),"Já foi negado",IF(B189="Ativo",X189*8%,"Não liberado"))</f>
        <v>3480</v>
      </c>
    </row>
    <row r="190" spans="1:28">
      <c r="A190" t="s">
        <v>93</v>
      </c>
      <c r="B190" t="str">
        <f t="shared" si="25"/>
        <v>Inativo</v>
      </c>
      <c r="C190" t="str">
        <f t="shared" si="26"/>
        <v>Daario Cerwyn</v>
      </c>
      <c r="D190" s="15" t="s">
        <v>527</v>
      </c>
      <c r="E190" s="16">
        <v>17500</v>
      </c>
      <c r="F190" s="16" t="str">
        <f t="shared" si="34"/>
        <v>000.000.175-00</v>
      </c>
      <c r="G190">
        <v>60</v>
      </c>
      <c r="H190">
        <f t="shared" ca="1" si="35"/>
        <v>60</v>
      </c>
      <c r="I190" s="12">
        <v>24091</v>
      </c>
      <c r="J190" t="s">
        <v>113</v>
      </c>
      <c r="K190" t="str">
        <f t="shared" si="27"/>
        <v>Lannisporto</v>
      </c>
      <c r="L190" t="s">
        <v>117</v>
      </c>
      <c r="M190" t="str" cm="1">
        <f t="array" ref="M190">PROPER(IF(L190&lt;&gt;"",L190,_xlfn.XLOOKUP(1,($K$2:$K$398=K190)*($L$2:$L$398&lt;&gt;""),$L$2:$L$398,"")))</f>
        <v>Oeste</v>
      </c>
      <c r="N190">
        <v>10100</v>
      </c>
      <c r="O190">
        <f t="shared" si="36"/>
        <v>10100</v>
      </c>
      <c r="P190">
        <v>55000</v>
      </c>
      <c r="Q190" s="17">
        <f t="shared" si="28"/>
        <v>55000</v>
      </c>
      <c r="R190" t="s">
        <v>49</v>
      </c>
      <c r="S190" t="str">
        <f t="shared" si="29"/>
        <v>Não</v>
      </c>
      <c r="T190">
        <v>26</v>
      </c>
      <c r="U190">
        <f t="shared" si="30"/>
        <v>26</v>
      </c>
      <c r="V190" t="s">
        <v>49</v>
      </c>
      <c r="W190">
        <v>54000</v>
      </c>
      <c r="X190">
        <f t="shared" si="31"/>
        <v>54000</v>
      </c>
      <c r="Y190" t="str">
        <f t="shared" si="32"/>
        <v>Alto</v>
      </c>
      <c r="Z190" t="str">
        <f>IF(AND(Y190="Alto",S190="Sim"),"Negada","Aprovada")</f>
        <v>Aprovada</v>
      </c>
      <c r="AA190" t="str">
        <f t="shared" si="33"/>
        <v>Aprovada</v>
      </c>
      <c r="AB190" t="str">
        <f>IF(AND(Z190="Negada",AA190="Negada"),"Já foi negado",IF(B190="Ativo",X190*8%,"Não liberado"))</f>
        <v>Não liberado</v>
      </c>
    </row>
    <row r="191" spans="1:28">
      <c r="A191" t="s">
        <v>88</v>
      </c>
      <c r="B191" t="str">
        <f t="shared" si="25"/>
        <v>Ativo</v>
      </c>
      <c r="C191" t="str">
        <f t="shared" si="26"/>
        <v>Catelyn Tarly</v>
      </c>
      <c r="D191" s="15" t="s">
        <v>528</v>
      </c>
      <c r="E191" s="16">
        <v>16300</v>
      </c>
      <c r="F191" s="16" t="str">
        <f t="shared" si="34"/>
        <v>000.000.163-00</v>
      </c>
      <c r="G191" t="s">
        <v>529</v>
      </c>
      <c r="H191">
        <f t="shared" ca="1" si="35"/>
        <v>27</v>
      </c>
      <c r="I191" s="12">
        <v>36255</v>
      </c>
      <c r="J191" t="s">
        <v>150</v>
      </c>
      <c r="K191" t="str">
        <f t="shared" si="27"/>
        <v>Castelo Negro</v>
      </c>
      <c r="L191" t="s">
        <v>151</v>
      </c>
      <c r="M191" t="str" cm="1">
        <f t="array" ref="M191">PROPER(IF(L191&lt;&gt;"",L191,_xlfn.XLOOKUP(1,($K$2:$K$398=K191)*($L$2:$L$398&lt;&gt;""),$L$2:$L$398,"")))</f>
        <v>Norte</v>
      </c>
      <c r="N191">
        <v>14000</v>
      </c>
      <c r="O191">
        <f t="shared" si="36"/>
        <v>14000</v>
      </c>
      <c r="P191">
        <v>63500</v>
      </c>
      <c r="Q191" s="17">
        <f t="shared" si="28"/>
        <v>63500</v>
      </c>
      <c r="R191" t="s">
        <v>49</v>
      </c>
      <c r="S191" t="str">
        <f t="shared" si="29"/>
        <v>Não</v>
      </c>
      <c r="T191">
        <v>24</v>
      </c>
      <c r="U191">
        <f t="shared" si="30"/>
        <v>24</v>
      </c>
      <c r="V191" t="s">
        <v>49</v>
      </c>
      <c r="W191">
        <v>87000</v>
      </c>
      <c r="X191">
        <f t="shared" si="31"/>
        <v>87000</v>
      </c>
      <c r="Y191" t="str">
        <f t="shared" si="32"/>
        <v>Médio</v>
      </c>
      <c r="Z191" t="str">
        <f>IF(AND(Y191="Alto",S191="Sim"),"Negada","Aprovada")</f>
        <v>Aprovada</v>
      </c>
      <c r="AA191" t="str">
        <f t="shared" si="33"/>
        <v>Aprovada</v>
      </c>
      <c r="AB191">
        <f>IF(AND(Z191="Negada",AA191="Negada"),"Já foi negado",IF(B191="Ativo",X191*8%,"Não liberado"))</f>
        <v>6960</v>
      </c>
    </row>
    <row r="192" spans="1:28">
      <c r="A192" t="s">
        <v>88</v>
      </c>
      <c r="B192" t="str">
        <f t="shared" si="25"/>
        <v>Ativo</v>
      </c>
      <c r="C192" t="str">
        <f t="shared" si="26"/>
        <v>Rickon Lannister</v>
      </c>
      <c r="D192" s="15" t="s">
        <v>530</v>
      </c>
      <c r="E192" s="16" t="s">
        <v>531</v>
      </c>
      <c r="F192" s="16" t="str">
        <f t="shared" si="34"/>
        <v>000.000.197-00</v>
      </c>
      <c r="G192">
        <v>53</v>
      </c>
      <c r="H192">
        <f t="shared" ca="1" si="35"/>
        <v>53</v>
      </c>
      <c r="I192" s="12">
        <v>26898</v>
      </c>
      <c r="J192" t="s">
        <v>171</v>
      </c>
      <c r="K192" t="str">
        <f t="shared" si="27"/>
        <v>Fosso Cailin</v>
      </c>
      <c r="L192" t="s">
        <v>151</v>
      </c>
      <c r="M192" t="str" cm="1">
        <f t="array" ref="M192">PROPER(IF(L192&lt;&gt;"",L192,_xlfn.XLOOKUP(1,($K$2:$K$398=K192)*($L$2:$L$398&lt;&gt;""),$L$2:$L$398,"")))</f>
        <v>Norte</v>
      </c>
      <c r="N192">
        <v>27100</v>
      </c>
      <c r="O192">
        <f t="shared" si="36"/>
        <v>27100</v>
      </c>
      <c r="P192">
        <v>68000</v>
      </c>
      <c r="Q192" s="17">
        <f t="shared" si="28"/>
        <v>68000</v>
      </c>
      <c r="R192" t="s">
        <v>49</v>
      </c>
      <c r="S192" t="str">
        <f t="shared" si="29"/>
        <v>Não</v>
      </c>
      <c r="T192" t="s">
        <v>532</v>
      </c>
      <c r="U192">
        <f t="shared" si="30"/>
        <v>40</v>
      </c>
      <c r="V192" t="s">
        <v>49</v>
      </c>
      <c r="W192">
        <v>49500</v>
      </c>
      <c r="X192">
        <f t="shared" si="31"/>
        <v>49500</v>
      </c>
      <c r="Y192" t="str">
        <f t="shared" si="32"/>
        <v>Alto</v>
      </c>
      <c r="Z192" t="str">
        <f>IF(AND(Y192="Alto",S192="Sim"),"Negada","Aprovada")</f>
        <v>Aprovada</v>
      </c>
      <c r="AA192" t="str">
        <f t="shared" si="33"/>
        <v>Aprovada</v>
      </c>
      <c r="AB192">
        <f>IF(AND(Z192="Negada",AA192="Negada"),"Já foi negado",IF(B192="Ativo",X192*8%,"Não liberado"))</f>
        <v>3960</v>
      </c>
    </row>
    <row r="193" spans="1:28">
      <c r="A193" t="s">
        <v>88</v>
      </c>
      <c r="B193" t="str">
        <f t="shared" si="25"/>
        <v>Ativo</v>
      </c>
      <c r="C193" t="str">
        <f t="shared" si="26"/>
        <v>Jorah Marbrand</v>
      </c>
      <c r="D193" s="15" t="s">
        <v>533</v>
      </c>
      <c r="E193" s="16" t="s">
        <v>534</v>
      </c>
      <c r="F193" s="16" t="str">
        <f t="shared" si="34"/>
        <v>000.000.168-00</v>
      </c>
      <c r="G193">
        <v>37</v>
      </c>
      <c r="H193">
        <f t="shared" ca="1" si="35"/>
        <v>37</v>
      </c>
      <c r="I193" s="12">
        <v>32414</v>
      </c>
      <c r="J193" t="s">
        <v>535</v>
      </c>
      <c r="K193" t="str">
        <f t="shared" si="27"/>
        <v>Pedra do Dragão</v>
      </c>
      <c r="M193" t="str" cm="1">
        <f t="array" ref="M193">PROPER(IF(L193&lt;&gt;"",L193,_xlfn.XLOOKUP(1,($K$2:$K$398=K193)*($L$2:$L$398&lt;&gt;""),$L$2:$L$398,"")))</f>
        <v>Terras Da Coroa</v>
      </c>
      <c r="N193">
        <v>12800</v>
      </c>
      <c r="O193">
        <f t="shared" si="36"/>
        <v>12800</v>
      </c>
      <c r="P193">
        <v>76500</v>
      </c>
      <c r="Q193" s="17">
        <f t="shared" si="28"/>
        <v>76500</v>
      </c>
      <c r="R193" t="s">
        <v>49</v>
      </c>
      <c r="S193" t="str">
        <f t="shared" si="29"/>
        <v>Não</v>
      </c>
      <c r="T193" t="s">
        <v>475</v>
      </c>
      <c r="U193">
        <f t="shared" si="30"/>
        <v>30</v>
      </c>
      <c r="V193" t="s">
        <v>49</v>
      </c>
      <c r="W193">
        <v>18500</v>
      </c>
      <c r="X193">
        <f t="shared" si="31"/>
        <v>18500</v>
      </c>
      <c r="Y193" t="str">
        <f t="shared" si="32"/>
        <v>Alto</v>
      </c>
      <c r="Z193" t="str">
        <f>IF(AND(Y193="Alto",S193="Sim"),"Negada","Aprovada")</f>
        <v>Aprovada</v>
      </c>
      <c r="AA193" t="str">
        <f t="shared" si="33"/>
        <v>Aprovada</v>
      </c>
      <c r="AB193">
        <f>IF(AND(Z193="Negada",AA193="Negada"),"Já foi negado",IF(B193="Ativo",X193*8%,"Não liberado"))</f>
        <v>1480</v>
      </c>
    </row>
    <row r="194" spans="1:28">
      <c r="A194" t="s">
        <v>88</v>
      </c>
      <c r="B194" t="str">
        <f t="shared" si="25"/>
        <v>Ativo</v>
      </c>
      <c r="C194" t="str">
        <f t="shared" si="26"/>
        <v>Renly Seaworth</v>
      </c>
      <c r="D194" s="15" t="s">
        <v>536</v>
      </c>
      <c r="E194" s="16">
        <v>35000</v>
      </c>
      <c r="F194" s="16" t="str">
        <f t="shared" si="34"/>
        <v>000.000.350-00</v>
      </c>
      <c r="G194">
        <v>18</v>
      </c>
      <c r="H194">
        <f t="shared" ca="1" si="35"/>
        <v>18</v>
      </c>
      <c r="I194" s="12">
        <v>39342</v>
      </c>
      <c r="J194" t="s">
        <v>157</v>
      </c>
      <c r="K194" t="str">
        <f t="shared" si="27"/>
        <v>Vilavelha</v>
      </c>
      <c r="L194" t="s">
        <v>158</v>
      </c>
      <c r="M194" t="str" cm="1">
        <f t="array" ref="M194">PROPER(IF(L194&lt;&gt;"",L194,_xlfn.XLOOKUP(1,($K$2:$K$398=K194)*($L$2:$L$398&lt;&gt;""),$L$2:$L$398,"")))</f>
        <v>Campina</v>
      </c>
      <c r="N194">
        <v>28900</v>
      </c>
      <c r="O194">
        <f t="shared" si="36"/>
        <v>28900</v>
      </c>
      <c r="P194">
        <v>22000</v>
      </c>
      <c r="Q194" s="17">
        <f t="shared" si="28"/>
        <v>22000</v>
      </c>
      <c r="R194" t="s">
        <v>49</v>
      </c>
      <c r="S194" t="str">
        <f t="shared" si="29"/>
        <v>Não</v>
      </c>
      <c r="T194">
        <v>23</v>
      </c>
      <c r="U194">
        <f t="shared" si="30"/>
        <v>23</v>
      </c>
      <c r="V194" t="s">
        <v>49</v>
      </c>
      <c r="W194">
        <v>90000</v>
      </c>
      <c r="X194">
        <f t="shared" si="31"/>
        <v>90000</v>
      </c>
      <c r="Y194" t="str">
        <f t="shared" si="32"/>
        <v>Médio</v>
      </c>
      <c r="Z194" t="str">
        <f>IF(AND(Y194="Alto",S194="Sim"),"Negada","Aprovada")</f>
        <v>Aprovada</v>
      </c>
      <c r="AA194" t="str">
        <f t="shared" si="33"/>
        <v>Aprovada</v>
      </c>
      <c r="AB194">
        <f>IF(AND(Z194="Negada",AA194="Negada"),"Já foi negado",IF(B194="Ativo",X194*8%,"Não liberado"))</f>
        <v>7200</v>
      </c>
    </row>
    <row r="195" spans="1:28">
      <c r="A195" t="s">
        <v>88</v>
      </c>
      <c r="B195" t="str">
        <f t="shared" ref="B195:B258" si="37">IF(A195="","Não informado",IF(OR(A195="Ativoo",A195="ATIVO",A195="ativo"),"Ativo",IF(OR(A195="Loqueado",A195="Bloqueado"),"Bloqueado",PROPER(A195))))</f>
        <v>Ativo</v>
      </c>
      <c r="C195" t="str">
        <f t="shared" ref="C195:C258" si="38">PROPER(D195)</f>
        <v>Lyanna Marbrand</v>
      </c>
      <c r="D195" s="15" t="s">
        <v>301</v>
      </c>
      <c r="E195" s="16" t="s">
        <v>302</v>
      </c>
      <c r="F195" s="16" t="str">
        <f t="shared" si="34"/>
        <v>000.000.283-00</v>
      </c>
      <c r="G195">
        <v>27</v>
      </c>
      <c r="H195">
        <f t="shared" ca="1" si="35"/>
        <v>27</v>
      </c>
      <c r="I195" s="12">
        <v>36308</v>
      </c>
      <c r="J195" t="s">
        <v>147</v>
      </c>
      <c r="K195" t="str">
        <f t="shared" ref="K195:K258" si="39">IFERROR(TRIM(_xlfn.TEXTBEFORE(J195,"|")),J195)</f>
        <v>Correrrio</v>
      </c>
      <c r="L195" t="s">
        <v>148</v>
      </c>
      <c r="M195" t="str" cm="1">
        <f t="array" ref="M195">PROPER(IF(L195&lt;&gt;"",L195,_xlfn.XLOOKUP(1,($K$2:$K$398=K195)*($L$2:$L$398&lt;&gt;""),$L$2:$L$398,"")))</f>
        <v>Terras Fluviais</v>
      </c>
      <c r="N195">
        <v>5300</v>
      </c>
      <c r="O195">
        <f t="shared" si="36"/>
        <v>5300</v>
      </c>
      <c r="P195" t="s">
        <v>303</v>
      </c>
      <c r="Q195" s="17">
        <f t="shared" ref="Q195:Q258" si="40">IF(P195="N/A","Não informado",IFERROR(VALUE(SUBSTITUTE(SUBSTITUTE(P195,"R$ ","")," moedas","")),P195))</f>
        <v>22000</v>
      </c>
      <c r="R195" t="s">
        <v>49</v>
      </c>
      <c r="S195" t="str">
        <f t="shared" ref="S195:S258" si="41">IF(OR(R195="Sim",R195="SIM",R195="sim",R195=1,R195="1"),"Sim",IF(OR(R195="Não",R195="Nao",R195="NÃO",R195="nao",R195=0,R195="0"),"Não","Não informado"))</f>
        <v>Não</v>
      </c>
      <c r="T195">
        <v>11</v>
      </c>
      <c r="U195">
        <f t="shared" ref="U195:U258" si="42">IFERROR(VALUE(SUBSTITUTE(T195," batalhas","")),T195)</f>
        <v>11</v>
      </c>
      <c r="V195" t="s">
        <v>49</v>
      </c>
      <c r="W195">
        <v>4500</v>
      </c>
      <c r="X195">
        <f t="shared" ref="X195:X258" si="43">IFERROR(VALUE(SUBSTITUTE(SUBSTITUTE(W195,"R$ ","")," moedas","")),W195)</f>
        <v>4500</v>
      </c>
      <c r="Y195" t="str">
        <f t="shared" ref="Y195:Y258" si="44">IF(U195&lt;=10,"Baixo",IF(U195&lt;=25,"Médio","Alto"))</f>
        <v>Médio</v>
      </c>
      <c r="Z195" t="str">
        <f>IF(AND(Y195="Alto",S195="Sim"),"Negada","Aprovada")</f>
        <v>Aprovada</v>
      </c>
      <c r="AA195" t="str">
        <f t="shared" ref="AA195:AA258" si="45">IF(AND(Q195&gt;50000,S195="Sim"),"Negada","Aprovada")</f>
        <v>Aprovada</v>
      </c>
      <c r="AB195">
        <f>IF(AND(Z195="Negada",AA195="Negada"),"Já foi negado",IF(B195="Ativo",X195*8%,"Não liberado"))</f>
        <v>360</v>
      </c>
    </row>
    <row r="196" spans="1:28">
      <c r="A196" t="s">
        <v>88</v>
      </c>
      <c r="B196" t="str">
        <f t="shared" si="37"/>
        <v>Ativo</v>
      </c>
      <c r="C196" t="str">
        <f t="shared" si="38"/>
        <v>Robert Mallister</v>
      </c>
      <c r="D196" s="15" t="s">
        <v>537</v>
      </c>
      <c r="E196" s="16" t="s">
        <v>538</v>
      </c>
      <c r="F196" s="16" t="str">
        <f t="shared" ref="F196:F259" si="46">TEXT(E196,"000\.000\.000\-00")</f>
        <v>000.000.037-00</v>
      </c>
      <c r="G196">
        <v>25</v>
      </c>
      <c r="H196">
        <f t="shared" ca="1" si="35"/>
        <v>25</v>
      </c>
      <c r="I196" s="12">
        <v>36824</v>
      </c>
      <c r="J196" t="s">
        <v>150</v>
      </c>
      <c r="K196" t="str">
        <f t="shared" si="39"/>
        <v>Castelo Negro</v>
      </c>
      <c r="L196" t="s">
        <v>151</v>
      </c>
      <c r="M196" t="str" cm="1">
        <f t="array" ref="M196">PROPER(IF(L196&lt;&gt;"",L196,_xlfn.XLOOKUP(1,($K$2:$K$398=K196)*($L$2:$L$398&lt;&gt;""),$L$2:$L$398,"")))</f>
        <v>Norte</v>
      </c>
      <c r="N196">
        <v>18300</v>
      </c>
      <c r="O196">
        <f t="shared" si="36"/>
        <v>18300</v>
      </c>
      <c r="P196">
        <v>41000</v>
      </c>
      <c r="Q196" s="17">
        <f t="shared" si="40"/>
        <v>41000</v>
      </c>
      <c r="R196" t="s">
        <v>49</v>
      </c>
      <c r="S196" t="str">
        <f t="shared" si="41"/>
        <v>Não</v>
      </c>
      <c r="T196">
        <v>9</v>
      </c>
      <c r="U196">
        <f t="shared" si="42"/>
        <v>9</v>
      </c>
      <c r="V196" t="s">
        <v>49</v>
      </c>
      <c r="W196">
        <v>32500</v>
      </c>
      <c r="X196">
        <f t="shared" si="43"/>
        <v>32500</v>
      </c>
      <c r="Y196" t="str">
        <f t="shared" si="44"/>
        <v>Baixo</v>
      </c>
      <c r="Z196" t="str">
        <f>IF(AND(Y196="Alto",S196="Sim"),"Negada","Aprovada")</f>
        <v>Aprovada</v>
      </c>
      <c r="AA196" t="str">
        <f t="shared" si="45"/>
        <v>Aprovada</v>
      </c>
      <c r="AB196">
        <f>IF(AND(Z196="Negada",AA196="Negada"),"Já foi negado",IF(B196="Ativo",X196*8%,"Não liberado"))</f>
        <v>2600</v>
      </c>
    </row>
    <row r="197" spans="1:28">
      <c r="A197" t="s">
        <v>88</v>
      </c>
      <c r="B197" t="str">
        <f t="shared" si="37"/>
        <v>Ativo</v>
      </c>
      <c r="C197" t="str">
        <f t="shared" si="38"/>
        <v>Ramsay Dayne</v>
      </c>
      <c r="D197" s="15" t="s">
        <v>539</v>
      </c>
      <c r="E197" s="16" t="s">
        <v>540</v>
      </c>
      <c r="F197" s="16" t="str">
        <f t="shared" si="46"/>
        <v>000.000.224-00</v>
      </c>
      <c r="G197">
        <v>55</v>
      </c>
      <c r="H197">
        <f t="shared" ref="H197:H260" ca="1" si="47">IF(OR(I197="",I197="N/A"),"N/A",DATEDIF(I197,TODAY(),"Y"))</f>
        <v>55</v>
      </c>
      <c r="I197" s="12">
        <v>26103</v>
      </c>
      <c r="J197" t="s">
        <v>95</v>
      </c>
      <c r="K197" t="str">
        <f t="shared" si="39"/>
        <v>Ponta Tempestade</v>
      </c>
      <c r="L197" t="s">
        <v>96</v>
      </c>
      <c r="M197" t="str" cm="1">
        <f t="array" ref="M197">PROPER(IF(L197&lt;&gt;"",L197,_xlfn.XLOOKUP(1,($K$2:$K$398=K197)*($L$2:$L$398&lt;&gt;""),$L$2:$L$398,"")))</f>
        <v>Terras Da Tempestade</v>
      </c>
      <c r="N197">
        <v>9600</v>
      </c>
      <c r="O197">
        <f t="shared" si="36"/>
        <v>9600</v>
      </c>
      <c r="P197">
        <v>43000</v>
      </c>
      <c r="Q197" s="17">
        <f t="shared" si="40"/>
        <v>43000</v>
      </c>
      <c r="R197" t="s">
        <v>49</v>
      </c>
      <c r="S197" t="str">
        <f t="shared" si="41"/>
        <v>Não</v>
      </c>
      <c r="T197">
        <v>36</v>
      </c>
      <c r="U197">
        <f t="shared" si="42"/>
        <v>36</v>
      </c>
      <c r="V197" t="s">
        <v>49</v>
      </c>
      <c r="W197">
        <v>67500</v>
      </c>
      <c r="X197">
        <f t="shared" si="43"/>
        <v>67500</v>
      </c>
      <c r="Y197" t="str">
        <f t="shared" si="44"/>
        <v>Alto</v>
      </c>
      <c r="Z197" t="str">
        <f>IF(AND(Y197="Alto",S197="Sim"),"Negada","Aprovada")</f>
        <v>Aprovada</v>
      </c>
      <c r="AA197" t="str">
        <f t="shared" si="45"/>
        <v>Aprovada</v>
      </c>
      <c r="AB197">
        <f>IF(AND(Z197="Negada",AA197="Negada"),"Já foi negado",IF(B197="Ativo",X197*8%,"Não liberado"))</f>
        <v>5400</v>
      </c>
    </row>
    <row r="198" spans="1:28">
      <c r="A198" t="s">
        <v>88</v>
      </c>
      <c r="B198" t="str">
        <f t="shared" si="37"/>
        <v>Ativo</v>
      </c>
      <c r="C198" t="str">
        <f t="shared" si="38"/>
        <v>Brienne Karstark</v>
      </c>
      <c r="D198" s="15" t="s">
        <v>541</v>
      </c>
      <c r="E198" s="16" t="s">
        <v>542</v>
      </c>
      <c r="F198" s="16" t="str">
        <f t="shared" si="46"/>
        <v>000.000.031-00</v>
      </c>
      <c r="G198">
        <v>23</v>
      </c>
      <c r="H198">
        <f t="shared" ca="1" si="47"/>
        <v>23</v>
      </c>
      <c r="I198" s="12">
        <v>37530</v>
      </c>
      <c r="J198" t="s">
        <v>106</v>
      </c>
      <c r="K198" t="str">
        <f t="shared" si="39"/>
        <v>Pyke</v>
      </c>
      <c r="M198" t="str" cm="1">
        <f t="array" ref="M198">PROPER(IF(L198&lt;&gt;"",L198,_xlfn.XLOOKUP(1,($K$2:$K$398=K198)*($L$2:$L$398&lt;&gt;""),$L$2:$L$398,"")))</f>
        <v>Ilhas De Ferro</v>
      </c>
      <c r="N198">
        <v>10700</v>
      </c>
      <c r="O198">
        <f t="shared" si="36"/>
        <v>10700</v>
      </c>
      <c r="P198">
        <v>15000</v>
      </c>
      <c r="Q198" s="17">
        <f t="shared" si="40"/>
        <v>15000</v>
      </c>
      <c r="R198" t="s">
        <v>49</v>
      </c>
      <c r="S198" t="str">
        <f t="shared" si="41"/>
        <v>Não</v>
      </c>
      <c r="T198">
        <v>42</v>
      </c>
      <c r="U198">
        <f t="shared" si="42"/>
        <v>42</v>
      </c>
      <c r="V198" t="s">
        <v>49</v>
      </c>
      <c r="W198">
        <v>81500</v>
      </c>
      <c r="X198">
        <f t="shared" si="43"/>
        <v>81500</v>
      </c>
      <c r="Y198" t="str">
        <f t="shared" si="44"/>
        <v>Alto</v>
      </c>
      <c r="Z198" t="str">
        <f>IF(AND(Y198="Alto",S198="Sim"),"Negada","Aprovada")</f>
        <v>Aprovada</v>
      </c>
      <c r="AA198" t="str">
        <f t="shared" si="45"/>
        <v>Aprovada</v>
      </c>
      <c r="AB198">
        <f>IF(AND(Z198="Negada",AA198="Negada"),"Já foi negado",IF(B198="Ativo",X198*8%,"Não liberado"))</f>
        <v>6520</v>
      </c>
    </row>
    <row r="199" spans="1:28">
      <c r="A199" t="s">
        <v>93</v>
      </c>
      <c r="B199" t="str">
        <f t="shared" si="37"/>
        <v>Inativo</v>
      </c>
      <c r="C199" t="str">
        <f t="shared" si="38"/>
        <v>Tormund Greyjoy</v>
      </c>
      <c r="D199" s="15" t="s">
        <v>543</v>
      </c>
      <c r="E199" s="16" t="s">
        <v>544</v>
      </c>
      <c r="F199" s="16" t="str">
        <f t="shared" si="46"/>
        <v>000.000.009-00</v>
      </c>
      <c r="G199">
        <v>58</v>
      </c>
      <c r="H199">
        <f t="shared" ca="1" si="47"/>
        <v>58</v>
      </c>
      <c r="I199" s="12">
        <v>24872</v>
      </c>
      <c r="J199" t="s">
        <v>121</v>
      </c>
      <c r="K199" t="str">
        <f t="shared" si="39"/>
        <v>Pyke</v>
      </c>
      <c r="L199" t="s">
        <v>274</v>
      </c>
      <c r="M199" t="str" cm="1">
        <f t="array" ref="M199">PROPER(IF(L199&lt;&gt;"",L199,_xlfn.XLOOKUP(1,($K$2:$K$398=K199)*($L$2:$L$398&lt;&gt;""),$L$2:$L$398,"")))</f>
        <v>Ilhas De Ferro</v>
      </c>
      <c r="N199" s="13">
        <v>12500</v>
      </c>
      <c r="O199">
        <f t="shared" si="36"/>
        <v>12500</v>
      </c>
      <c r="P199" s="14">
        <v>44500</v>
      </c>
      <c r="Q199" s="17">
        <f t="shared" si="40"/>
        <v>44500</v>
      </c>
      <c r="R199" t="s">
        <v>49</v>
      </c>
      <c r="S199" t="str">
        <f t="shared" si="41"/>
        <v>Não</v>
      </c>
      <c r="T199">
        <v>13</v>
      </c>
      <c r="U199">
        <f t="shared" si="42"/>
        <v>13</v>
      </c>
      <c r="V199" t="s">
        <v>49</v>
      </c>
      <c r="W199">
        <v>16000</v>
      </c>
      <c r="X199">
        <f t="shared" si="43"/>
        <v>16000</v>
      </c>
      <c r="Y199" t="str">
        <f t="shared" si="44"/>
        <v>Médio</v>
      </c>
      <c r="Z199" t="str">
        <f>IF(AND(Y199="Alto",S199="Sim"),"Negada","Aprovada")</f>
        <v>Aprovada</v>
      </c>
      <c r="AA199" t="str">
        <f t="shared" si="45"/>
        <v>Aprovada</v>
      </c>
      <c r="AB199" t="str">
        <f>IF(AND(Z199="Negada",AA199="Negada"),"Já foi negado",IF(B199="Ativo",X199*8%,"Não liberado"))</f>
        <v>Não liberado</v>
      </c>
    </row>
    <row r="200" spans="1:28">
      <c r="A200" t="s">
        <v>88</v>
      </c>
      <c r="B200" t="str">
        <f t="shared" si="37"/>
        <v>Ativo</v>
      </c>
      <c r="C200" t="str">
        <f t="shared" si="38"/>
        <v>Jaime Yronwood</v>
      </c>
      <c r="D200" s="15" t="s">
        <v>545</v>
      </c>
      <c r="F200" s="16" t="str">
        <f t="shared" si="46"/>
        <v>000.000.000-00</v>
      </c>
      <c r="G200">
        <v>24</v>
      </c>
      <c r="H200" t="str">
        <f t="shared" ca="1" si="47"/>
        <v>N/A</v>
      </c>
      <c r="J200" t="s">
        <v>100</v>
      </c>
      <c r="K200" t="str">
        <f t="shared" si="39"/>
        <v>Pedra do Dragão</v>
      </c>
      <c r="L200" t="s">
        <v>423</v>
      </c>
      <c r="M200" t="str" cm="1">
        <f t="array" ref="M200">PROPER(IF(L200&lt;&gt;"",L200,_xlfn.XLOOKUP(1,($K$2:$K$398=K200)*($L$2:$L$398&lt;&gt;""),$L$2:$L$398,"")))</f>
        <v>Terras Da Coroa</v>
      </c>
      <c r="N200">
        <v>17000</v>
      </c>
      <c r="O200">
        <f t="shared" si="36"/>
        <v>17000</v>
      </c>
      <c r="P200">
        <v>41000</v>
      </c>
      <c r="Q200" s="17">
        <f t="shared" si="40"/>
        <v>41000</v>
      </c>
      <c r="R200" t="s">
        <v>49</v>
      </c>
      <c r="S200" t="str">
        <f t="shared" si="41"/>
        <v>Não</v>
      </c>
      <c r="T200">
        <v>37</v>
      </c>
      <c r="U200">
        <f t="shared" si="42"/>
        <v>37</v>
      </c>
      <c r="V200" t="s">
        <v>49</v>
      </c>
      <c r="W200">
        <v>33000</v>
      </c>
      <c r="X200">
        <f t="shared" si="43"/>
        <v>33000</v>
      </c>
      <c r="Y200" t="str">
        <f t="shared" si="44"/>
        <v>Alto</v>
      </c>
      <c r="Z200" t="str">
        <f>IF(AND(Y200="Alto",S200="Sim"),"Negada","Aprovada")</f>
        <v>Aprovada</v>
      </c>
      <c r="AA200" t="str">
        <f t="shared" si="45"/>
        <v>Aprovada</v>
      </c>
      <c r="AB200">
        <f>IF(AND(Z200="Negada",AA200="Negada"),"Já foi negado",IF(B200="Ativo",X200*8%,"Não liberado"))</f>
        <v>2640</v>
      </c>
    </row>
    <row r="201" spans="1:28">
      <c r="A201" t="s">
        <v>88</v>
      </c>
      <c r="B201" t="str">
        <f t="shared" si="37"/>
        <v>Ativo</v>
      </c>
      <c r="C201" t="str">
        <f t="shared" si="38"/>
        <v>Thoros Payne</v>
      </c>
      <c r="D201" s="15" t="s">
        <v>546</v>
      </c>
      <c r="E201" s="16">
        <v>7700</v>
      </c>
      <c r="F201" s="16" t="str">
        <f t="shared" si="46"/>
        <v>000.000.077-00</v>
      </c>
      <c r="H201">
        <f t="shared" ca="1" si="47"/>
        <v>40</v>
      </c>
      <c r="I201" s="12">
        <v>31337</v>
      </c>
      <c r="J201" t="s">
        <v>178</v>
      </c>
      <c r="K201" t="str">
        <f t="shared" si="39"/>
        <v>Harrenhal</v>
      </c>
      <c r="L201" t="s">
        <v>148</v>
      </c>
      <c r="M201" t="str" cm="1">
        <f t="array" ref="M201">PROPER(IF(L201&lt;&gt;"",L201,_xlfn.XLOOKUP(1,($K$2:$K$398=K201)*($L$2:$L$398&lt;&gt;""),$L$2:$L$398,"")))</f>
        <v>Terras Fluviais</v>
      </c>
      <c r="N201">
        <v>14000</v>
      </c>
      <c r="O201">
        <f t="shared" si="36"/>
        <v>14000</v>
      </c>
      <c r="P201">
        <v>0</v>
      </c>
      <c r="Q201" s="17">
        <f t="shared" si="40"/>
        <v>0</v>
      </c>
      <c r="R201" t="s">
        <v>200</v>
      </c>
      <c r="S201" t="str">
        <f t="shared" si="41"/>
        <v>Não</v>
      </c>
      <c r="T201">
        <v>24</v>
      </c>
      <c r="U201">
        <f t="shared" si="42"/>
        <v>24</v>
      </c>
      <c r="V201" t="s">
        <v>200</v>
      </c>
      <c r="W201">
        <v>82000</v>
      </c>
      <c r="X201">
        <f t="shared" si="43"/>
        <v>82000</v>
      </c>
      <c r="Y201" t="str">
        <f t="shared" si="44"/>
        <v>Médio</v>
      </c>
      <c r="Z201" t="str">
        <f>IF(AND(Y201="Alto",S201="Sim"),"Negada","Aprovada")</f>
        <v>Aprovada</v>
      </c>
      <c r="AA201" t="str">
        <f t="shared" si="45"/>
        <v>Aprovada</v>
      </c>
      <c r="AB201">
        <f>IF(AND(Z201="Negada",AA201="Negada"),"Já foi negado",IF(B201="Ativo",X201*8%,"Não liberado"))</f>
        <v>6560</v>
      </c>
    </row>
    <row r="202" spans="1:28">
      <c r="A202" t="s">
        <v>88</v>
      </c>
      <c r="B202" t="str">
        <f t="shared" si="37"/>
        <v>Ativo</v>
      </c>
      <c r="C202" t="str">
        <f t="shared" si="38"/>
        <v>Asha Tallhart</v>
      </c>
      <c r="D202" s="15" t="s">
        <v>140</v>
      </c>
      <c r="E202" s="16" t="s">
        <v>547</v>
      </c>
      <c r="F202" s="16" t="str">
        <f t="shared" si="46"/>
        <v>000.000.006-00</v>
      </c>
      <c r="G202">
        <v>59</v>
      </c>
      <c r="H202">
        <f t="shared" ca="1" si="47"/>
        <v>59</v>
      </c>
      <c r="I202" s="12">
        <v>24710</v>
      </c>
      <c r="J202" t="s">
        <v>548</v>
      </c>
      <c r="K202" t="str">
        <f t="shared" si="39"/>
        <v>Correrrio</v>
      </c>
      <c r="M202" t="str" cm="1">
        <f t="array" ref="M202">PROPER(IF(L202&lt;&gt;"",L202,_xlfn.XLOOKUP(1,($K$2:$K$398=K202)*($L$2:$L$398&lt;&gt;""),$L$2:$L$398,"")))</f>
        <v>Terras Fluviais</v>
      </c>
      <c r="N202" s="14">
        <v>19900</v>
      </c>
      <c r="O202">
        <f t="shared" si="36"/>
        <v>19900</v>
      </c>
      <c r="P202" s="14">
        <v>55000</v>
      </c>
      <c r="Q202" s="17">
        <f t="shared" si="40"/>
        <v>55000</v>
      </c>
      <c r="R202" t="s">
        <v>49</v>
      </c>
      <c r="S202" t="str">
        <f t="shared" si="41"/>
        <v>Não</v>
      </c>
      <c r="T202">
        <v>26</v>
      </c>
      <c r="U202">
        <f t="shared" si="42"/>
        <v>26</v>
      </c>
      <c r="V202" t="s">
        <v>49</v>
      </c>
      <c r="W202">
        <v>100000</v>
      </c>
      <c r="X202">
        <f t="shared" si="43"/>
        <v>100000</v>
      </c>
      <c r="Y202" t="str">
        <f t="shared" si="44"/>
        <v>Alto</v>
      </c>
      <c r="Z202" t="str">
        <f>IF(AND(Y202="Alto",S202="Sim"),"Negada","Aprovada")</f>
        <v>Aprovada</v>
      </c>
      <c r="AA202" t="str">
        <f t="shared" si="45"/>
        <v>Aprovada</v>
      </c>
      <c r="AB202">
        <f>IF(AND(Z202="Negada",AA202="Negada"),"Já foi negado",IF(B202="Ativo",X202*8%,"Não liberado"))</f>
        <v>8000</v>
      </c>
    </row>
    <row r="203" spans="1:28">
      <c r="A203" t="s">
        <v>93</v>
      </c>
      <c r="B203" t="str">
        <f t="shared" si="37"/>
        <v>Inativo</v>
      </c>
      <c r="C203" t="str">
        <f t="shared" si="38"/>
        <v>Theon Tarth</v>
      </c>
      <c r="D203" s="15" t="s">
        <v>549</v>
      </c>
      <c r="E203" s="16" t="s">
        <v>550</v>
      </c>
      <c r="F203" s="16" t="str">
        <f t="shared" si="46"/>
        <v>000.000.289-00</v>
      </c>
      <c r="G203">
        <v>74</v>
      </c>
      <c r="H203">
        <f t="shared" ca="1" si="47"/>
        <v>74</v>
      </c>
      <c r="I203" s="12">
        <v>19073</v>
      </c>
      <c r="J203" t="s">
        <v>113</v>
      </c>
      <c r="K203" t="str">
        <f t="shared" si="39"/>
        <v>Lannisporto</v>
      </c>
      <c r="M203" t="str" cm="1">
        <f t="array" ref="M203">PROPER(IF(L203&lt;&gt;"",L203,_xlfn.XLOOKUP(1,($K$2:$K$398=K203)*($L$2:$L$398&lt;&gt;""),$L$2:$L$398,"")))</f>
        <v>Oeste</v>
      </c>
      <c r="N203">
        <v>7100</v>
      </c>
      <c r="O203">
        <f t="shared" si="36"/>
        <v>7100</v>
      </c>
      <c r="P203">
        <v>61500</v>
      </c>
      <c r="Q203" s="17">
        <f t="shared" si="40"/>
        <v>61500</v>
      </c>
      <c r="R203" t="s">
        <v>49</v>
      </c>
      <c r="S203" t="str">
        <f t="shared" si="41"/>
        <v>Não</v>
      </c>
      <c r="T203" t="s">
        <v>175</v>
      </c>
      <c r="U203">
        <f t="shared" si="42"/>
        <v>1</v>
      </c>
      <c r="V203" t="s">
        <v>49</v>
      </c>
      <c r="W203">
        <v>50500</v>
      </c>
      <c r="X203">
        <f t="shared" si="43"/>
        <v>50500</v>
      </c>
      <c r="Y203" t="str">
        <f t="shared" si="44"/>
        <v>Baixo</v>
      </c>
      <c r="Z203" t="str">
        <f>IF(AND(Y203="Alto",S203="Sim"),"Negada","Aprovada")</f>
        <v>Aprovada</v>
      </c>
      <c r="AA203" t="str">
        <f t="shared" si="45"/>
        <v>Aprovada</v>
      </c>
      <c r="AB203" t="str">
        <f>IF(AND(Z203="Negada",AA203="Negada"),"Já foi negado",IF(B203="Ativo",X203*8%,"Não liberado"))</f>
        <v>Não liberado</v>
      </c>
    </row>
    <row r="204" spans="1:28">
      <c r="A204" t="s">
        <v>88</v>
      </c>
      <c r="B204" t="str">
        <f t="shared" si="37"/>
        <v>Ativo</v>
      </c>
      <c r="C204" t="str">
        <f t="shared" si="38"/>
        <v>Stannis Seaworth</v>
      </c>
      <c r="D204" s="15" t="s">
        <v>551</v>
      </c>
      <c r="E204" s="16" t="s">
        <v>552</v>
      </c>
      <c r="F204" s="16" t="str">
        <f t="shared" si="46"/>
        <v>000.000.316-00</v>
      </c>
      <c r="G204">
        <v>64</v>
      </c>
      <c r="H204">
        <f t="shared" ca="1" si="47"/>
        <v>64</v>
      </c>
      <c r="I204" s="12">
        <v>22886</v>
      </c>
      <c r="J204" t="s">
        <v>121</v>
      </c>
      <c r="K204" t="str">
        <f t="shared" si="39"/>
        <v>Pyke</v>
      </c>
      <c r="L204" t="s">
        <v>141</v>
      </c>
      <c r="M204" t="str" cm="1">
        <f t="array" ref="M204">PROPER(IF(L204&lt;&gt;"",L204,_xlfn.XLOOKUP(1,($K$2:$K$398=K204)*($L$2:$L$398&lt;&gt;""),$L$2:$L$398,"")))</f>
        <v>Ilhas De Ferro</v>
      </c>
      <c r="N204" s="14">
        <v>8800</v>
      </c>
      <c r="O204">
        <f t="shared" si="36"/>
        <v>8800</v>
      </c>
      <c r="P204" s="13">
        <v>66000</v>
      </c>
      <c r="Q204" s="17">
        <f t="shared" si="40"/>
        <v>66000</v>
      </c>
      <c r="R204" t="s">
        <v>49</v>
      </c>
      <c r="S204" t="str">
        <f t="shared" si="41"/>
        <v>Não</v>
      </c>
      <c r="T204">
        <v>28</v>
      </c>
      <c r="U204">
        <f t="shared" si="42"/>
        <v>28</v>
      </c>
      <c r="V204" t="s">
        <v>49</v>
      </c>
      <c r="W204">
        <v>5000</v>
      </c>
      <c r="X204">
        <f t="shared" si="43"/>
        <v>5000</v>
      </c>
      <c r="Y204" t="str">
        <f t="shared" si="44"/>
        <v>Alto</v>
      </c>
      <c r="Z204" t="str">
        <f>IF(AND(Y204="Alto",S204="Sim"),"Negada","Aprovada")</f>
        <v>Aprovada</v>
      </c>
      <c r="AA204" t="str">
        <f t="shared" si="45"/>
        <v>Aprovada</v>
      </c>
      <c r="AB204">
        <f>IF(AND(Z204="Negada",AA204="Negada"),"Já foi negado",IF(B204="Ativo",X204*8%,"Não liberado"))</f>
        <v>400</v>
      </c>
    </row>
    <row r="205" spans="1:28">
      <c r="A205" t="s">
        <v>93</v>
      </c>
      <c r="B205" t="str">
        <f t="shared" si="37"/>
        <v>Inativo</v>
      </c>
      <c r="C205" t="str">
        <f t="shared" si="38"/>
        <v>Tormund Greyjoy</v>
      </c>
      <c r="D205" s="15" t="s">
        <v>543</v>
      </c>
      <c r="E205" s="16" t="s">
        <v>544</v>
      </c>
      <c r="F205" s="16" t="str">
        <f t="shared" si="46"/>
        <v>000.000.009-00</v>
      </c>
      <c r="G205">
        <v>58</v>
      </c>
      <c r="H205">
        <f t="shared" ca="1" si="47"/>
        <v>58</v>
      </c>
      <c r="I205" s="12">
        <v>24872</v>
      </c>
      <c r="J205" t="s">
        <v>121</v>
      </c>
      <c r="K205" t="str">
        <f t="shared" si="39"/>
        <v>Pyke</v>
      </c>
      <c r="L205" t="s">
        <v>274</v>
      </c>
      <c r="M205" t="str" cm="1">
        <f t="array" ref="M205">PROPER(IF(L205&lt;&gt;"",L205,_xlfn.XLOOKUP(1,($K$2:$K$398=K205)*($L$2:$L$398&lt;&gt;""),$L$2:$L$398,"")))</f>
        <v>Ilhas De Ferro</v>
      </c>
      <c r="N205" s="13">
        <v>12500</v>
      </c>
      <c r="O205">
        <f t="shared" si="36"/>
        <v>12500</v>
      </c>
      <c r="P205" s="14">
        <v>44500</v>
      </c>
      <c r="Q205" s="17">
        <f t="shared" si="40"/>
        <v>44500</v>
      </c>
      <c r="R205" t="s">
        <v>49</v>
      </c>
      <c r="S205" t="str">
        <f t="shared" si="41"/>
        <v>Não</v>
      </c>
      <c r="T205">
        <v>13</v>
      </c>
      <c r="U205">
        <f t="shared" si="42"/>
        <v>13</v>
      </c>
      <c r="V205" t="s">
        <v>49</v>
      </c>
      <c r="W205">
        <v>98500</v>
      </c>
      <c r="X205">
        <f t="shared" si="43"/>
        <v>98500</v>
      </c>
      <c r="Y205" t="str">
        <f t="shared" si="44"/>
        <v>Médio</v>
      </c>
      <c r="Z205" t="str">
        <f>IF(AND(Y205="Alto",S205="Sim"),"Negada","Aprovada")</f>
        <v>Aprovada</v>
      </c>
      <c r="AA205" t="str">
        <f t="shared" si="45"/>
        <v>Aprovada</v>
      </c>
      <c r="AB205" t="str">
        <f>IF(AND(Z205="Negada",AA205="Negada"),"Já foi negado",IF(B205="Ativo",X205*8%,"Não liberado"))</f>
        <v>Não liberado</v>
      </c>
    </row>
    <row r="206" spans="1:28">
      <c r="A206" t="s">
        <v>88</v>
      </c>
      <c r="B206" t="str">
        <f t="shared" si="37"/>
        <v>Ativo</v>
      </c>
      <c r="C206" t="str">
        <f t="shared" si="38"/>
        <v>Grey Worm Dondarrion</v>
      </c>
      <c r="D206" s="15" t="s">
        <v>553</v>
      </c>
      <c r="E206" s="16">
        <v>23300</v>
      </c>
      <c r="F206" s="16" t="str">
        <f t="shared" si="46"/>
        <v>000.000.233-00</v>
      </c>
      <c r="G206">
        <v>38</v>
      </c>
      <c r="H206">
        <f t="shared" ca="1" si="47"/>
        <v>38</v>
      </c>
      <c r="I206" s="12">
        <v>32066</v>
      </c>
      <c r="J206" t="s">
        <v>130</v>
      </c>
      <c r="K206" t="str">
        <f t="shared" si="39"/>
        <v>Meereen</v>
      </c>
      <c r="L206" t="s">
        <v>131</v>
      </c>
      <c r="M206" t="str" cm="1">
        <f t="array" ref="M206">PROPER(IF(L206&lt;&gt;"",L206,_xlfn.XLOOKUP(1,($K$2:$K$398=K206)*($L$2:$L$398&lt;&gt;""),$L$2:$L$398,"")))</f>
        <v>Essos</v>
      </c>
      <c r="N206">
        <v>9700</v>
      </c>
      <c r="O206">
        <f t="shared" si="36"/>
        <v>9700</v>
      </c>
      <c r="P206" s="14">
        <v>25000</v>
      </c>
      <c r="Q206" s="17">
        <f t="shared" si="40"/>
        <v>25000</v>
      </c>
      <c r="R206" t="s">
        <v>49</v>
      </c>
      <c r="S206" t="str">
        <f t="shared" si="41"/>
        <v>Não</v>
      </c>
      <c r="T206">
        <v>0</v>
      </c>
      <c r="U206">
        <f t="shared" si="42"/>
        <v>0</v>
      </c>
      <c r="V206" t="s">
        <v>49</v>
      </c>
      <c r="W206">
        <v>55500</v>
      </c>
      <c r="X206">
        <f t="shared" si="43"/>
        <v>55500</v>
      </c>
      <c r="Y206" t="str">
        <f t="shared" si="44"/>
        <v>Baixo</v>
      </c>
      <c r="Z206" t="str">
        <f>IF(AND(Y206="Alto",S206="Sim"),"Negada","Aprovada")</f>
        <v>Aprovada</v>
      </c>
      <c r="AA206" t="str">
        <f t="shared" si="45"/>
        <v>Aprovada</v>
      </c>
      <c r="AB206">
        <f>IF(AND(Z206="Negada",AA206="Negada"),"Já foi negado",IF(B206="Ativo",X206*8%,"Não liberado"))</f>
        <v>4440</v>
      </c>
    </row>
    <row r="207" spans="1:28">
      <c r="A207" t="s">
        <v>88</v>
      </c>
      <c r="B207" t="str">
        <f t="shared" si="37"/>
        <v>Ativo</v>
      </c>
      <c r="C207" t="str">
        <f t="shared" si="38"/>
        <v>Olenna Arryn</v>
      </c>
      <c r="D207" s="15" t="s">
        <v>554</v>
      </c>
      <c r="E207" s="16">
        <v>9600</v>
      </c>
      <c r="F207" s="16" t="str">
        <f t="shared" si="46"/>
        <v>000.000.096-00</v>
      </c>
      <c r="G207">
        <v>49</v>
      </c>
      <c r="H207">
        <f t="shared" ca="1" si="47"/>
        <v>49</v>
      </c>
      <c r="I207" s="12">
        <v>28330</v>
      </c>
      <c r="J207" t="s">
        <v>136</v>
      </c>
      <c r="K207" t="str">
        <f t="shared" si="39"/>
        <v>Braavos</v>
      </c>
      <c r="L207" t="s">
        <v>131</v>
      </c>
      <c r="M207" t="str" cm="1">
        <f t="array" ref="M207">PROPER(IF(L207&lt;&gt;"",L207,_xlfn.XLOOKUP(1,($K$2:$K$398=K207)*($L$2:$L$398&lt;&gt;""),$L$2:$L$398,"")))</f>
        <v>Essos</v>
      </c>
      <c r="N207">
        <v>11500</v>
      </c>
      <c r="O207">
        <f t="shared" si="36"/>
        <v>11500</v>
      </c>
      <c r="P207">
        <v>44500</v>
      </c>
      <c r="Q207" s="17">
        <f t="shared" si="40"/>
        <v>44500</v>
      </c>
      <c r="R207" t="s">
        <v>49</v>
      </c>
      <c r="S207" t="str">
        <f t="shared" si="41"/>
        <v>Não</v>
      </c>
      <c r="T207">
        <v>45</v>
      </c>
      <c r="U207">
        <f t="shared" si="42"/>
        <v>45</v>
      </c>
      <c r="V207" t="s">
        <v>49</v>
      </c>
      <c r="W207">
        <v>3000</v>
      </c>
      <c r="X207">
        <f t="shared" si="43"/>
        <v>3000</v>
      </c>
      <c r="Y207" t="str">
        <f t="shared" si="44"/>
        <v>Alto</v>
      </c>
      <c r="Z207" t="str">
        <f>IF(AND(Y207="Alto",S207="Sim"),"Negada","Aprovada")</f>
        <v>Aprovada</v>
      </c>
      <c r="AA207" t="str">
        <f t="shared" si="45"/>
        <v>Aprovada</v>
      </c>
      <c r="AB207">
        <f>IF(AND(Z207="Negada",AA207="Negada"),"Já foi negado",IF(B207="Ativo",X207*8%,"Não liberado"))</f>
        <v>240</v>
      </c>
    </row>
    <row r="208" spans="1:28">
      <c r="A208" t="s">
        <v>88</v>
      </c>
      <c r="B208" t="str">
        <f t="shared" si="37"/>
        <v>Ativo</v>
      </c>
      <c r="C208" t="str">
        <f t="shared" si="38"/>
        <v>Tyrion Tyrell</v>
      </c>
      <c r="D208" s="15" t="s">
        <v>555</v>
      </c>
      <c r="E208" s="16">
        <v>19000</v>
      </c>
      <c r="F208" s="16" t="str">
        <f t="shared" si="46"/>
        <v>000.000.190-00</v>
      </c>
      <c r="G208">
        <v>42</v>
      </c>
      <c r="H208">
        <f t="shared" ca="1" si="47"/>
        <v>42</v>
      </c>
      <c r="I208" s="12">
        <v>30724</v>
      </c>
      <c r="J208" t="s">
        <v>163</v>
      </c>
      <c r="K208" t="str">
        <f t="shared" si="39"/>
        <v>Ilha dos Ursos</v>
      </c>
      <c r="L208" t="s">
        <v>151</v>
      </c>
      <c r="M208" t="str" cm="1">
        <f t="array" ref="M208">PROPER(IF(L208&lt;&gt;"",L208,_xlfn.XLOOKUP(1,($K$2:$K$398=K208)*($L$2:$L$398&lt;&gt;""),$L$2:$L$398,"")))</f>
        <v>Norte</v>
      </c>
      <c r="N208">
        <v>18500</v>
      </c>
      <c r="O208">
        <f t="shared" si="36"/>
        <v>18500</v>
      </c>
      <c r="P208" s="13">
        <v>59000</v>
      </c>
      <c r="Q208" s="17">
        <f t="shared" si="40"/>
        <v>59000</v>
      </c>
      <c r="R208" t="s">
        <v>49</v>
      </c>
      <c r="S208" t="str">
        <f t="shared" si="41"/>
        <v>Não</v>
      </c>
      <c r="T208">
        <v>44</v>
      </c>
      <c r="U208">
        <f t="shared" si="42"/>
        <v>44</v>
      </c>
      <c r="V208" t="s">
        <v>49</v>
      </c>
      <c r="W208">
        <v>16500</v>
      </c>
      <c r="X208">
        <f t="shared" si="43"/>
        <v>16500</v>
      </c>
      <c r="Y208" t="str">
        <f t="shared" si="44"/>
        <v>Alto</v>
      </c>
      <c r="Z208" t="str">
        <f>IF(AND(Y208="Alto",S208="Sim"),"Negada","Aprovada")</f>
        <v>Aprovada</v>
      </c>
      <c r="AA208" t="str">
        <f t="shared" si="45"/>
        <v>Aprovada</v>
      </c>
      <c r="AB208">
        <f>IF(AND(Z208="Negada",AA208="Negada"),"Já foi negado",IF(B208="Ativo",X208*8%,"Não liberado"))</f>
        <v>1320</v>
      </c>
    </row>
    <row r="209" spans="1:28">
      <c r="A209" t="s">
        <v>88</v>
      </c>
      <c r="B209" t="str">
        <f t="shared" si="37"/>
        <v>Ativo</v>
      </c>
      <c r="C209" t="str">
        <f t="shared" si="38"/>
        <v>Robb Clegane</v>
      </c>
      <c r="D209" s="15" t="s">
        <v>556</v>
      </c>
      <c r="E209" s="16" t="s">
        <v>557</v>
      </c>
      <c r="F209" s="16" t="str">
        <f t="shared" si="46"/>
        <v>000.000.304-00</v>
      </c>
      <c r="G209">
        <v>18</v>
      </c>
      <c r="H209">
        <f t="shared" ca="1" si="47"/>
        <v>18</v>
      </c>
      <c r="I209" s="12">
        <v>39338</v>
      </c>
      <c r="J209" t="s">
        <v>171</v>
      </c>
      <c r="K209" t="str">
        <f t="shared" si="39"/>
        <v>Fosso Cailin</v>
      </c>
      <c r="L209" t="s">
        <v>164</v>
      </c>
      <c r="M209" t="str" cm="1">
        <f t="array" ref="M209">PROPER(IF(L209&lt;&gt;"",L209,_xlfn.XLOOKUP(1,($K$2:$K$398=K209)*($L$2:$L$398&lt;&gt;""),$L$2:$L$398,"")))</f>
        <v>Norte</v>
      </c>
      <c r="N209" s="14">
        <v>14100</v>
      </c>
      <c r="O209">
        <f t="shared" si="36"/>
        <v>14100</v>
      </c>
      <c r="P209">
        <v>38500</v>
      </c>
      <c r="Q209" s="17">
        <f t="shared" si="40"/>
        <v>38500</v>
      </c>
      <c r="R209" t="s">
        <v>49</v>
      </c>
      <c r="S209" t="str">
        <f t="shared" si="41"/>
        <v>Não</v>
      </c>
      <c r="T209">
        <v>7</v>
      </c>
      <c r="U209">
        <f t="shared" si="42"/>
        <v>7</v>
      </c>
      <c r="V209" t="s">
        <v>49</v>
      </c>
      <c r="W209">
        <v>11000</v>
      </c>
      <c r="X209">
        <f t="shared" si="43"/>
        <v>11000</v>
      </c>
      <c r="Y209" t="str">
        <f t="shared" si="44"/>
        <v>Baixo</v>
      </c>
      <c r="Z209" t="str">
        <f>IF(AND(Y209="Alto",S209="Sim"),"Negada","Aprovada")</f>
        <v>Aprovada</v>
      </c>
      <c r="AA209" t="str">
        <f t="shared" si="45"/>
        <v>Aprovada</v>
      </c>
      <c r="AB209">
        <f>IF(AND(Z209="Negada",AA209="Negada"),"Já foi negado",IF(B209="Ativo",X209*8%,"Não liberado"))</f>
        <v>880</v>
      </c>
    </row>
    <row r="210" spans="1:28">
      <c r="A210" t="s">
        <v>88</v>
      </c>
      <c r="B210" t="str">
        <f t="shared" si="37"/>
        <v>Ativo</v>
      </c>
      <c r="C210" t="str">
        <f t="shared" si="38"/>
        <v>Bran Dondarrion</v>
      </c>
      <c r="D210" s="15" t="s">
        <v>558</v>
      </c>
      <c r="E210" s="16">
        <v>4900</v>
      </c>
      <c r="F210" s="16" t="str">
        <f t="shared" si="46"/>
        <v>000.000.049-00</v>
      </c>
      <c r="G210">
        <v>18</v>
      </c>
      <c r="H210">
        <f t="shared" ca="1" si="47"/>
        <v>18</v>
      </c>
      <c r="I210" s="12">
        <v>39369</v>
      </c>
      <c r="J210" t="s">
        <v>130</v>
      </c>
      <c r="K210" t="str">
        <f t="shared" si="39"/>
        <v>Meereen</v>
      </c>
      <c r="L210" t="s">
        <v>283</v>
      </c>
      <c r="M210" t="str" cm="1">
        <f t="array" ref="M210">PROPER(IF(L210&lt;&gt;"",L210,_xlfn.XLOOKUP(1,($K$2:$K$398=K210)*($L$2:$L$398&lt;&gt;""),$L$2:$L$398,"")))</f>
        <v>Essos</v>
      </c>
      <c r="N210">
        <v>18500</v>
      </c>
      <c r="O210">
        <f t="shared" si="36"/>
        <v>18500</v>
      </c>
      <c r="P210">
        <v>74500</v>
      </c>
      <c r="Q210" s="17">
        <f t="shared" si="40"/>
        <v>74500</v>
      </c>
      <c r="R210" t="s">
        <v>50</v>
      </c>
      <c r="S210" t="str">
        <f t="shared" si="41"/>
        <v>Sim</v>
      </c>
      <c r="T210">
        <v>20</v>
      </c>
      <c r="U210">
        <f t="shared" si="42"/>
        <v>20</v>
      </c>
      <c r="V210" t="s">
        <v>50</v>
      </c>
      <c r="W210">
        <v>45500</v>
      </c>
      <c r="X210">
        <f t="shared" si="43"/>
        <v>45500</v>
      </c>
      <c r="Y210" t="str">
        <f t="shared" si="44"/>
        <v>Médio</v>
      </c>
      <c r="Z210" t="str">
        <f>IF(AND(Y210="Alto",S210="Sim"),"Negada","Aprovada")</f>
        <v>Aprovada</v>
      </c>
      <c r="AA210" t="str">
        <f t="shared" si="45"/>
        <v>Negada</v>
      </c>
      <c r="AB210">
        <f>IF(AND(Z210="Negada",AA210="Negada"),"Já foi negado",IF(B210="Ativo",X210*8%,"Não liberado"))</f>
        <v>3640</v>
      </c>
    </row>
    <row r="211" spans="1:28">
      <c r="A211" t="s">
        <v>93</v>
      </c>
      <c r="B211" t="str">
        <f t="shared" si="37"/>
        <v>Inativo</v>
      </c>
      <c r="C211" t="str">
        <f t="shared" si="38"/>
        <v>Jeor Baelish</v>
      </c>
      <c r="D211" s="15" t="s">
        <v>559</v>
      </c>
      <c r="E211" s="16" t="s">
        <v>560</v>
      </c>
      <c r="F211" s="16" t="str">
        <f t="shared" si="46"/>
        <v>000.000.332-00</v>
      </c>
      <c r="G211">
        <v>66</v>
      </c>
      <c r="H211">
        <f t="shared" ca="1" si="47"/>
        <v>66</v>
      </c>
      <c r="I211" s="12">
        <v>22039</v>
      </c>
      <c r="J211" t="s">
        <v>193</v>
      </c>
      <c r="K211" t="str">
        <f t="shared" si="39"/>
        <v>Dorne</v>
      </c>
      <c r="L211" t="s">
        <v>306</v>
      </c>
      <c r="M211" t="str" cm="1">
        <f t="array" ref="M211">PROPER(IF(L211&lt;&gt;"",L211,_xlfn.XLOOKUP(1,($K$2:$K$398=K211)*($L$2:$L$398&lt;&gt;""),$L$2:$L$398,"")))</f>
        <v>Dorne</v>
      </c>
      <c r="N211" t="s">
        <v>561</v>
      </c>
      <c r="O211">
        <f t="shared" si="36"/>
        <v>14300</v>
      </c>
      <c r="P211" t="s">
        <v>562</v>
      </c>
      <c r="Q211" s="17">
        <f t="shared" si="40"/>
        <v>78000</v>
      </c>
      <c r="R211" t="s">
        <v>49</v>
      </c>
      <c r="S211" t="str">
        <f t="shared" si="41"/>
        <v>Não</v>
      </c>
      <c r="T211">
        <v>28</v>
      </c>
      <c r="U211">
        <f t="shared" si="42"/>
        <v>28</v>
      </c>
      <c r="V211" t="s">
        <v>49</v>
      </c>
      <c r="W211">
        <v>74500</v>
      </c>
      <c r="X211">
        <f t="shared" si="43"/>
        <v>74500</v>
      </c>
      <c r="Y211" t="str">
        <f t="shared" si="44"/>
        <v>Alto</v>
      </c>
      <c r="Z211" t="str">
        <f>IF(AND(Y211="Alto",S211="Sim"),"Negada","Aprovada")</f>
        <v>Aprovada</v>
      </c>
      <c r="AA211" t="str">
        <f t="shared" si="45"/>
        <v>Aprovada</v>
      </c>
      <c r="AB211" t="str">
        <f>IF(AND(Z211="Negada",AA211="Negada"),"Já foi negado",IF(B211="Ativo",X211*8%,"Não liberado"))</f>
        <v>Não liberado</v>
      </c>
    </row>
    <row r="212" spans="1:28">
      <c r="A212" t="s">
        <v>88</v>
      </c>
      <c r="B212" t="str">
        <f t="shared" si="37"/>
        <v>Ativo</v>
      </c>
      <c r="C212" t="str">
        <f t="shared" si="38"/>
        <v>Jaime Dondarrion</v>
      </c>
      <c r="D212" s="15" t="s">
        <v>563</v>
      </c>
      <c r="E212" s="16" t="s">
        <v>564</v>
      </c>
      <c r="F212" s="16" t="str">
        <f t="shared" si="46"/>
        <v>000.000.056-00</v>
      </c>
      <c r="G212">
        <v>35</v>
      </c>
      <c r="H212">
        <f t="shared" ca="1" si="47"/>
        <v>35</v>
      </c>
      <c r="I212" s="12">
        <v>33336</v>
      </c>
      <c r="J212" t="s">
        <v>91</v>
      </c>
      <c r="K212" t="str">
        <f t="shared" si="39"/>
        <v>Ninho da Águia</v>
      </c>
      <c r="L212" t="s">
        <v>92</v>
      </c>
      <c r="M212" t="str" cm="1">
        <f t="array" ref="M212">PROPER(IF(L212&lt;&gt;"",L212,_xlfn.XLOOKUP(1,($K$2:$K$398=K212)*($L$2:$L$398&lt;&gt;""),$L$2:$L$398,"")))</f>
        <v>Vale</v>
      </c>
      <c r="N212" t="s">
        <v>565</v>
      </c>
      <c r="O212">
        <f t="shared" si="36"/>
        <v>20900</v>
      </c>
      <c r="P212">
        <v>54000</v>
      </c>
      <c r="Q212" s="17">
        <f t="shared" si="40"/>
        <v>54000</v>
      </c>
      <c r="R212">
        <v>0</v>
      </c>
      <c r="S212" t="str">
        <f t="shared" si="41"/>
        <v>Não</v>
      </c>
      <c r="T212">
        <v>44</v>
      </c>
      <c r="U212">
        <f t="shared" si="42"/>
        <v>44</v>
      </c>
      <c r="V212">
        <v>0</v>
      </c>
      <c r="W212">
        <v>18000</v>
      </c>
      <c r="X212">
        <f t="shared" si="43"/>
        <v>18000</v>
      </c>
      <c r="Y212" t="str">
        <f t="shared" si="44"/>
        <v>Alto</v>
      </c>
      <c r="Z212" t="str">
        <f>IF(AND(Y212="Alto",S212="Sim"),"Negada","Aprovada")</f>
        <v>Aprovada</v>
      </c>
      <c r="AA212" t="str">
        <f t="shared" si="45"/>
        <v>Aprovada</v>
      </c>
      <c r="AB212">
        <f>IF(AND(Z212="Negada",AA212="Negada"),"Já foi negado",IF(B212="Ativo",X212*8%,"Não liberado"))</f>
        <v>1440</v>
      </c>
    </row>
    <row r="213" spans="1:28">
      <c r="A213" t="s">
        <v>88</v>
      </c>
      <c r="B213" t="str">
        <f t="shared" si="37"/>
        <v>Ativo</v>
      </c>
      <c r="C213" t="str">
        <f t="shared" si="38"/>
        <v>Loras Manderly</v>
      </c>
      <c r="D213" s="15" t="s">
        <v>566</v>
      </c>
      <c r="E213" s="16">
        <v>27800</v>
      </c>
      <c r="F213" s="16" t="str">
        <f t="shared" si="46"/>
        <v>000.000.278-00</v>
      </c>
      <c r="G213">
        <v>38</v>
      </c>
      <c r="H213">
        <f t="shared" ca="1" si="47"/>
        <v>38</v>
      </c>
      <c r="I213" s="12">
        <v>32152</v>
      </c>
      <c r="J213" t="s">
        <v>567</v>
      </c>
      <c r="K213" t="str">
        <f t="shared" si="39"/>
        <v>Monte Chifre</v>
      </c>
      <c r="M213" t="str" cm="1">
        <f t="array" ref="M213">PROPER(IF(L213&lt;&gt;"",L213,_xlfn.XLOOKUP(1,($K$2:$K$398=K213)*($L$2:$L$398&lt;&gt;""),$L$2:$L$398,"")))</f>
        <v>Campina</v>
      </c>
      <c r="N213">
        <v>2000</v>
      </c>
      <c r="O213">
        <f t="shared" si="36"/>
        <v>2000</v>
      </c>
      <c r="P213">
        <v>60000</v>
      </c>
      <c r="Q213" s="17">
        <f t="shared" si="40"/>
        <v>60000</v>
      </c>
      <c r="R213" t="s">
        <v>49</v>
      </c>
      <c r="S213" t="str">
        <f t="shared" si="41"/>
        <v>Não</v>
      </c>
      <c r="T213" t="s">
        <v>568</v>
      </c>
      <c r="U213">
        <f t="shared" si="42"/>
        <v>18</v>
      </c>
      <c r="V213" t="s">
        <v>49</v>
      </c>
      <c r="W213">
        <v>54000</v>
      </c>
      <c r="X213">
        <f t="shared" si="43"/>
        <v>54000</v>
      </c>
      <c r="Y213" t="str">
        <f t="shared" si="44"/>
        <v>Médio</v>
      </c>
      <c r="Z213" t="str">
        <f>IF(AND(Y213="Alto",S213="Sim"),"Negada","Aprovada")</f>
        <v>Aprovada</v>
      </c>
      <c r="AA213" t="str">
        <f t="shared" si="45"/>
        <v>Aprovada</v>
      </c>
      <c r="AB213">
        <f>IF(AND(Z213="Negada",AA213="Negada"),"Já foi negado",IF(B213="Ativo",X213*8%,"Não liberado"))</f>
        <v>4320</v>
      </c>
    </row>
    <row r="214" spans="1:28">
      <c r="A214" t="s">
        <v>93</v>
      </c>
      <c r="B214" t="str">
        <f t="shared" si="37"/>
        <v>Inativo</v>
      </c>
      <c r="C214" t="str">
        <f t="shared" si="38"/>
        <v>Daario Marbrand</v>
      </c>
      <c r="D214" s="15" t="s">
        <v>270</v>
      </c>
      <c r="E214" s="16" t="s">
        <v>271</v>
      </c>
      <c r="F214" s="16" t="str">
        <f t="shared" si="46"/>
        <v>000.000.014-00</v>
      </c>
      <c r="G214" t="s">
        <v>272</v>
      </c>
      <c r="H214">
        <f t="shared" ca="1" si="47"/>
        <v>46</v>
      </c>
      <c r="I214" s="12">
        <v>29113</v>
      </c>
      <c r="J214" t="s">
        <v>171</v>
      </c>
      <c r="K214" t="str">
        <f t="shared" si="39"/>
        <v>Fosso Cailin</v>
      </c>
      <c r="L214" t="s">
        <v>151</v>
      </c>
      <c r="M214" t="str" cm="1">
        <f t="array" ref="M214">PROPER(IF(L214&lt;&gt;"",L214,_xlfn.XLOOKUP(1,($K$2:$K$398=K214)*($L$2:$L$398&lt;&gt;""),$L$2:$L$398,"")))</f>
        <v>Norte</v>
      </c>
      <c r="N214">
        <v>15000</v>
      </c>
      <c r="O214">
        <f t="shared" ref="O214:O277" si="48">IF(N214="","Não informado",IFERROR(VALUE(SUBSTITUTE(SUBSTITUTE(N214,"R$ ","")," moedas","")),N214))</f>
        <v>15000</v>
      </c>
      <c r="P214">
        <v>0</v>
      </c>
      <c r="Q214" s="17">
        <f t="shared" si="40"/>
        <v>0</v>
      </c>
      <c r="R214" t="s">
        <v>49</v>
      </c>
      <c r="S214" t="str">
        <f t="shared" si="41"/>
        <v>Não</v>
      </c>
      <c r="T214">
        <v>40</v>
      </c>
      <c r="U214">
        <f t="shared" si="42"/>
        <v>40</v>
      </c>
      <c r="V214" t="s">
        <v>49</v>
      </c>
      <c r="W214">
        <v>90500</v>
      </c>
      <c r="X214">
        <f t="shared" si="43"/>
        <v>90500</v>
      </c>
      <c r="Y214" t="str">
        <f t="shared" si="44"/>
        <v>Alto</v>
      </c>
      <c r="Z214" t="str">
        <f>IF(AND(Y214="Alto",S214="Sim"),"Negada","Aprovada")</f>
        <v>Aprovada</v>
      </c>
      <c r="AA214" t="str">
        <f t="shared" si="45"/>
        <v>Aprovada</v>
      </c>
      <c r="AB214" t="str">
        <f>IF(AND(Z214="Negada",AA214="Negada"),"Já foi negado",IF(B214="Ativo",X214*8%,"Não liberado"))</f>
        <v>Não liberado</v>
      </c>
    </row>
    <row r="215" spans="1:28">
      <c r="A215" t="s">
        <v>88</v>
      </c>
      <c r="B215" t="str">
        <f t="shared" si="37"/>
        <v>Ativo</v>
      </c>
      <c r="C215" t="str">
        <f t="shared" si="38"/>
        <v>Beric Seaworth</v>
      </c>
      <c r="D215" s="15" t="s">
        <v>569</v>
      </c>
      <c r="E215" s="16" t="s">
        <v>570</v>
      </c>
      <c r="F215" s="16" t="str">
        <f t="shared" si="46"/>
        <v>000.000.025-00</v>
      </c>
      <c r="G215">
        <v>72</v>
      </c>
      <c r="H215">
        <f t="shared" ca="1" si="47"/>
        <v>72</v>
      </c>
      <c r="I215" s="12">
        <v>19800</v>
      </c>
      <c r="J215" t="s">
        <v>147</v>
      </c>
      <c r="K215" t="str">
        <f t="shared" si="39"/>
        <v>Correrrio</v>
      </c>
      <c r="L215" t="s">
        <v>148</v>
      </c>
      <c r="M215" t="str" cm="1">
        <f t="array" ref="M215">PROPER(IF(L215&lt;&gt;"",L215,_xlfn.XLOOKUP(1,($K$2:$K$398=K215)*($L$2:$L$398&lt;&gt;""),$L$2:$L$398,"")))</f>
        <v>Terras Fluviais</v>
      </c>
      <c r="N215">
        <v>24300</v>
      </c>
      <c r="O215">
        <f t="shared" si="48"/>
        <v>24300</v>
      </c>
      <c r="P215">
        <v>13500</v>
      </c>
      <c r="Q215" s="17">
        <f t="shared" si="40"/>
        <v>13500</v>
      </c>
      <c r="R215" t="s">
        <v>49</v>
      </c>
      <c r="S215" t="str">
        <f t="shared" si="41"/>
        <v>Não</v>
      </c>
      <c r="T215">
        <v>33</v>
      </c>
      <c r="U215">
        <f t="shared" si="42"/>
        <v>33</v>
      </c>
      <c r="V215" t="s">
        <v>49</v>
      </c>
      <c r="W215">
        <v>14500</v>
      </c>
      <c r="X215">
        <f t="shared" si="43"/>
        <v>14500</v>
      </c>
      <c r="Y215" t="str">
        <f t="shared" si="44"/>
        <v>Alto</v>
      </c>
      <c r="Z215" t="str">
        <f>IF(AND(Y215="Alto",S215="Sim"),"Negada","Aprovada")</f>
        <v>Aprovada</v>
      </c>
      <c r="AA215" t="str">
        <f t="shared" si="45"/>
        <v>Aprovada</v>
      </c>
      <c r="AB215">
        <f>IF(AND(Z215="Negada",AA215="Negada"),"Já foi negado",IF(B215="Ativo",X215*8%,"Não liberado"))</f>
        <v>1160</v>
      </c>
    </row>
    <row r="216" spans="1:28">
      <c r="A216" t="s">
        <v>88</v>
      </c>
      <c r="B216" t="str">
        <f t="shared" si="37"/>
        <v>Ativo</v>
      </c>
      <c r="C216" t="str">
        <f t="shared" si="38"/>
        <v>Lyanna Seaworth</v>
      </c>
      <c r="D216" s="15" t="s">
        <v>571</v>
      </c>
      <c r="E216" s="16" t="s">
        <v>572</v>
      </c>
      <c r="F216" s="16" t="str">
        <f t="shared" si="46"/>
        <v>000.000.041-00</v>
      </c>
      <c r="G216">
        <v>69</v>
      </c>
      <c r="H216" t="str">
        <f t="shared" ca="1" si="47"/>
        <v>N/A</v>
      </c>
      <c r="J216" t="s">
        <v>136</v>
      </c>
      <c r="K216" t="str">
        <f t="shared" si="39"/>
        <v>Braavos</v>
      </c>
      <c r="L216" t="s">
        <v>131</v>
      </c>
      <c r="M216" t="str" cm="1">
        <f t="array" ref="M216">PROPER(IF(L216&lt;&gt;"",L216,_xlfn.XLOOKUP(1,($K$2:$K$398=K216)*($L$2:$L$398&lt;&gt;""),$L$2:$L$398,"")))</f>
        <v>Essos</v>
      </c>
      <c r="N216" s="14">
        <v>4500</v>
      </c>
      <c r="O216">
        <f t="shared" si="48"/>
        <v>4500</v>
      </c>
      <c r="P216">
        <v>0</v>
      </c>
      <c r="Q216" s="17">
        <f t="shared" si="40"/>
        <v>0</v>
      </c>
      <c r="R216" t="s">
        <v>50</v>
      </c>
      <c r="S216" t="str">
        <f t="shared" si="41"/>
        <v>Sim</v>
      </c>
      <c r="T216">
        <v>32</v>
      </c>
      <c r="U216">
        <f t="shared" si="42"/>
        <v>32</v>
      </c>
      <c r="V216" t="s">
        <v>50</v>
      </c>
      <c r="W216">
        <v>56500</v>
      </c>
      <c r="X216">
        <f t="shared" si="43"/>
        <v>56500</v>
      </c>
      <c r="Y216" t="str">
        <f t="shared" si="44"/>
        <v>Alto</v>
      </c>
      <c r="Z216" t="str">
        <f>IF(AND(Y216="Alto",S216="Sim"),"Negada","Aprovada")</f>
        <v>Negada</v>
      </c>
      <c r="AA216" t="str">
        <f t="shared" si="45"/>
        <v>Aprovada</v>
      </c>
      <c r="AB216">
        <f>IF(AND(Z216="Negada",AA216="Negada"),"Já foi negado",IF(B216="Ativo",X216*8%,"Não liberado"))</f>
        <v>4520</v>
      </c>
    </row>
    <row r="217" spans="1:28">
      <c r="A217" t="s">
        <v>88</v>
      </c>
      <c r="B217" t="str">
        <f t="shared" si="37"/>
        <v>Ativo</v>
      </c>
      <c r="C217" t="str">
        <f t="shared" si="38"/>
        <v>Margaery Marbrand</v>
      </c>
      <c r="D217" s="15" t="s">
        <v>573</v>
      </c>
      <c r="E217" s="16" t="s">
        <v>574</v>
      </c>
      <c r="F217" s="16" t="str">
        <f t="shared" si="46"/>
        <v>000.000.146-00</v>
      </c>
      <c r="G217">
        <v>22</v>
      </c>
      <c r="H217">
        <f t="shared" ca="1" si="47"/>
        <v>22</v>
      </c>
      <c r="I217" s="12">
        <v>38079</v>
      </c>
      <c r="J217" t="s">
        <v>95</v>
      </c>
      <c r="K217" t="str">
        <f t="shared" si="39"/>
        <v>Ponta Tempestade</v>
      </c>
      <c r="L217" t="s">
        <v>96</v>
      </c>
      <c r="M217" t="str" cm="1">
        <f t="array" ref="M217">PROPER(IF(L217&lt;&gt;"",L217,_xlfn.XLOOKUP(1,($K$2:$K$398=K217)*($L$2:$L$398&lt;&gt;""),$L$2:$L$398,"")))</f>
        <v>Terras Da Tempestade</v>
      </c>
      <c r="N217">
        <v>9200</v>
      </c>
      <c r="O217">
        <f t="shared" si="48"/>
        <v>9200</v>
      </c>
      <c r="P217" s="13">
        <v>5000</v>
      </c>
      <c r="Q217" s="17">
        <f t="shared" si="40"/>
        <v>5000</v>
      </c>
      <c r="R217" t="s">
        <v>49</v>
      </c>
      <c r="S217" t="str">
        <f t="shared" si="41"/>
        <v>Não</v>
      </c>
      <c r="T217">
        <v>42</v>
      </c>
      <c r="U217">
        <f t="shared" si="42"/>
        <v>42</v>
      </c>
      <c r="V217" t="s">
        <v>49</v>
      </c>
      <c r="W217">
        <v>63500</v>
      </c>
      <c r="X217">
        <f t="shared" si="43"/>
        <v>63500</v>
      </c>
      <c r="Y217" t="str">
        <f t="shared" si="44"/>
        <v>Alto</v>
      </c>
      <c r="Z217" t="str">
        <f>IF(AND(Y217="Alto",S217="Sim"),"Negada","Aprovada")</f>
        <v>Aprovada</v>
      </c>
      <c r="AA217" t="str">
        <f t="shared" si="45"/>
        <v>Aprovada</v>
      </c>
      <c r="AB217">
        <f>IF(AND(Z217="Negada",AA217="Negada"),"Já foi negado",IF(B217="Ativo",X217*8%,"Não liberado"))</f>
        <v>5080</v>
      </c>
    </row>
    <row r="218" spans="1:28">
      <c r="A218" t="s">
        <v>88</v>
      </c>
      <c r="B218" t="str">
        <f t="shared" si="37"/>
        <v>Ativo</v>
      </c>
      <c r="C218" t="str">
        <f t="shared" si="38"/>
        <v>Tormund Yronwood</v>
      </c>
      <c r="D218" s="15" t="s">
        <v>575</v>
      </c>
      <c r="E218" s="16" t="s">
        <v>576</v>
      </c>
      <c r="F218" s="16" t="str">
        <f t="shared" si="46"/>
        <v>000.000.187-00</v>
      </c>
      <c r="G218">
        <v>39</v>
      </c>
      <c r="H218">
        <f t="shared" ca="1" si="47"/>
        <v>39</v>
      </c>
      <c r="I218" s="12">
        <v>31972</v>
      </c>
      <c r="J218" t="s">
        <v>147</v>
      </c>
      <c r="K218" t="str">
        <f t="shared" si="39"/>
        <v>Correrrio</v>
      </c>
      <c r="L218" t="s">
        <v>155</v>
      </c>
      <c r="M218" t="str" cm="1">
        <f t="array" ref="M218">PROPER(IF(L218&lt;&gt;"",L218,_xlfn.XLOOKUP(1,($K$2:$K$398=K218)*($L$2:$L$398&lt;&gt;""),$L$2:$L$398,"")))</f>
        <v>Terras Fluviais</v>
      </c>
      <c r="N218">
        <v>8700</v>
      </c>
      <c r="O218">
        <f t="shared" si="48"/>
        <v>8700</v>
      </c>
      <c r="P218" t="s">
        <v>243</v>
      </c>
      <c r="Q218" s="17">
        <f t="shared" si="40"/>
        <v>4500</v>
      </c>
      <c r="R218" t="s">
        <v>49</v>
      </c>
      <c r="S218" t="str">
        <f t="shared" si="41"/>
        <v>Não</v>
      </c>
      <c r="T218">
        <v>16</v>
      </c>
      <c r="U218">
        <f t="shared" si="42"/>
        <v>16</v>
      </c>
      <c r="V218" t="s">
        <v>49</v>
      </c>
      <c r="W218">
        <v>93500</v>
      </c>
      <c r="X218">
        <f t="shared" si="43"/>
        <v>93500</v>
      </c>
      <c r="Y218" t="str">
        <f t="shared" si="44"/>
        <v>Médio</v>
      </c>
      <c r="Z218" t="str">
        <f>IF(AND(Y218="Alto",S218="Sim"),"Negada","Aprovada")</f>
        <v>Aprovada</v>
      </c>
      <c r="AA218" t="str">
        <f t="shared" si="45"/>
        <v>Aprovada</v>
      </c>
      <c r="AB218">
        <f>IF(AND(Z218="Negada",AA218="Negada"),"Já foi negado",IF(B218="Ativo",X218*8%,"Não liberado"))</f>
        <v>7480</v>
      </c>
    </row>
    <row r="219" spans="1:28">
      <c r="A219" t="s">
        <v>88</v>
      </c>
      <c r="B219" t="str">
        <f t="shared" si="37"/>
        <v>Ativo</v>
      </c>
      <c r="C219" t="str">
        <f t="shared" si="38"/>
        <v>Ramsay Tarly</v>
      </c>
      <c r="D219" s="15" t="s">
        <v>577</v>
      </c>
      <c r="E219" s="16">
        <v>9800</v>
      </c>
      <c r="F219" s="16" t="str">
        <f t="shared" si="46"/>
        <v>000.000.098-00</v>
      </c>
      <c r="G219">
        <v>35</v>
      </c>
      <c r="H219">
        <f t="shared" ca="1" si="47"/>
        <v>35</v>
      </c>
      <c r="I219" s="12">
        <v>33440</v>
      </c>
      <c r="J219" t="s">
        <v>121</v>
      </c>
      <c r="K219" t="str">
        <f t="shared" si="39"/>
        <v>Pyke</v>
      </c>
      <c r="L219" t="s">
        <v>274</v>
      </c>
      <c r="M219" t="str" cm="1">
        <f t="array" ref="M219">PROPER(IF(L219&lt;&gt;"",L219,_xlfn.XLOOKUP(1,($K$2:$K$398=K219)*($L$2:$L$398&lt;&gt;""),$L$2:$L$398,"")))</f>
        <v>Ilhas De Ferro</v>
      </c>
      <c r="N219" s="13">
        <v>2000</v>
      </c>
      <c r="O219">
        <f t="shared" si="48"/>
        <v>2000</v>
      </c>
      <c r="P219" s="13">
        <v>5500</v>
      </c>
      <c r="Q219" s="17">
        <f t="shared" si="40"/>
        <v>5500</v>
      </c>
      <c r="R219" t="s">
        <v>49</v>
      </c>
      <c r="S219" t="str">
        <f t="shared" si="41"/>
        <v>Não</v>
      </c>
      <c r="T219">
        <v>34</v>
      </c>
      <c r="U219">
        <f t="shared" si="42"/>
        <v>34</v>
      </c>
      <c r="V219" t="s">
        <v>49</v>
      </c>
      <c r="W219">
        <v>71000</v>
      </c>
      <c r="X219">
        <f t="shared" si="43"/>
        <v>71000</v>
      </c>
      <c r="Y219" t="str">
        <f t="shared" si="44"/>
        <v>Alto</v>
      </c>
      <c r="Z219" t="str">
        <f>IF(AND(Y219="Alto",S219="Sim"),"Negada","Aprovada")</f>
        <v>Aprovada</v>
      </c>
      <c r="AA219" t="str">
        <f t="shared" si="45"/>
        <v>Aprovada</v>
      </c>
      <c r="AB219">
        <f>IF(AND(Z219="Negada",AA219="Negada"),"Já foi negado",IF(B219="Ativo",X219*8%,"Não liberado"))</f>
        <v>5680</v>
      </c>
    </row>
    <row r="220" spans="1:28">
      <c r="A220" t="s">
        <v>88</v>
      </c>
      <c r="B220" t="str">
        <f t="shared" si="37"/>
        <v>Ativo</v>
      </c>
      <c r="C220" t="str">
        <f t="shared" si="38"/>
        <v>Shae Mormont</v>
      </c>
      <c r="D220" s="15" t="s">
        <v>578</v>
      </c>
      <c r="E220" s="16" t="s">
        <v>579</v>
      </c>
      <c r="F220" s="16" t="str">
        <f t="shared" si="46"/>
        <v>000.000.114-00</v>
      </c>
      <c r="G220">
        <v>72</v>
      </c>
      <c r="H220">
        <f t="shared" ca="1" si="47"/>
        <v>72</v>
      </c>
      <c r="I220" s="12">
        <v>19623</v>
      </c>
      <c r="J220" t="s">
        <v>113</v>
      </c>
      <c r="K220" t="str">
        <f t="shared" si="39"/>
        <v>Lannisporto</v>
      </c>
      <c r="L220" t="s">
        <v>117</v>
      </c>
      <c r="M220" t="str" cm="1">
        <f t="array" ref="M220">PROPER(IF(L220&lt;&gt;"",L220,_xlfn.XLOOKUP(1,($K$2:$K$398=K220)*($L$2:$L$398&lt;&gt;""),$L$2:$L$398,"")))</f>
        <v>Oeste</v>
      </c>
      <c r="N220" s="14">
        <v>12600</v>
      </c>
      <c r="O220">
        <f t="shared" si="48"/>
        <v>12600</v>
      </c>
      <c r="P220" s="14">
        <v>5500</v>
      </c>
      <c r="Q220" s="17">
        <f t="shared" si="40"/>
        <v>5500</v>
      </c>
      <c r="R220" t="s">
        <v>49</v>
      </c>
      <c r="S220" t="str">
        <f t="shared" si="41"/>
        <v>Não</v>
      </c>
      <c r="T220">
        <v>35</v>
      </c>
      <c r="U220">
        <f t="shared" si="42"/>
        <v>35</v>
      </c>
      <c r="V220" t="s">
        <v>49</v>
      </c>
      <c r="W220">
        <v>21000</v>
      </c>
      <c r="X220">
        <f t="shared" si="43"/>
        <v>21000</v>
      </c>
      <c r="Y220" t="str">
        <f t="shared" si="44"/>
        <v>Alto</v>
      </c>
      <c r="Z220" t="str">
        <f>IF(AND(Y220="Alto",S220="Sim"),"Negada","Aprovada")</f>
        <v>Aprovada</v>
      </c>
      <c r="AA220" t="str">
        <f t="shared" si="45"/>
        <v>Aprovada</v>
      </c>
      <c r="AB220">
        <f>IF(AND(Z220="Negada",AA220="Negada"),"Já foi negado",IF(B220="Ativo",X220*8%,"Não liberado"))</f>
        <v>1680</v>
      </c>
    </row>
    <row r="221" spans="1:28">
      <c r="A221" t="s">
        <v>88</v>
      </c>
      <c r="B221" t="str">
        <f t="shared" si="37"/>
        <v>Ativo</v>
      </c>
      <c r="C221" t="str">
        <f t="shared" si="38"/>
        <v>Renly Bolton</v>
      </c>
      <c r="D221" s="15" t="s">
        <v>580</v>
      </c>
      <c r="E221" s="16" t="s">
        <v>581</v>
      </c>
      <c r="F221" s="16" t="str">
        <f t="shared" si="46"/>
        <v>000.000.303-00</v>
      </c>
      <c r="G221">
        <v>24</v>
      </c>
      <c r="H221" t="str">
        <f t="shared" ca="1" si="47"/>
        <v>N/A</v>
      </c>
      <c r="J221" t="s">
        <v>150</v>
      </c>
      <c r="K221" t="str">
        <f t="shared" si="39"/>
        <v>Castelo Negro</v>
      </c>
      <c r="L221" t="s">
        <v>151</v>
      </c>
      <c r="M221" t="str" cm="1">
        <f t="array" ref="M221">PROPER(IF(L221&lt;&gt;"",L221,_xlfn.XLOOKUP(1,($K$2:$K$398=K221)*($L$2:$L$398&lt;&gt;""),$L$2:$L$398,"")))</f>
        <v>Norte</v>
      </c>
      <c r="N221">
        <v>29300</v>
      </c>
      <c r="O221">
        <f t="shared" si="48"/>
        <v>29300</v>
      </c>
      <c r="P221">
        <v>32000</v>
      </c>
      <c r="Q221" s="17">
        <f t="shared" si="40"/>
        <v>32000</v>
      </c>
      <c r="R221" t="s">
        <v>50</v>
      </c>
      <c r="S221" t="str">
        <f t="shared" si="41"/>
        <v>Sim</v>
      </c>
      <c r="T221">
        <v>26</v>
      </c>
      <c r="U221">
        <f t="shared" si="42"/>
        <v>26</v>
      </c>
      <c r="V221" t="s">
        <v>50</v>
      </c>
      <c r="W221">
        <v>59000</v>
      </c>
      <c r="X221">
        <f t="shared" si="43"/>
        <v>59000</v>
      </c>
      <c r="Y221" t="str">
        <f t="shared" si="44"/>
        <v>Alto</v>
      </c>
      <c r="Z221" t="str">
        <f>IF(AND(Y221="Alto",S221="Sim"),"Negada","Aprovada")</f>
        <v>Negada</v>
      </c>
      <c r="AA221" t="str">
        <f t="shared" si="45"/>
        <v>Aprovada</v>
      </c>
      <c r="AB221">
        <f>IF(AND(Z221="Negada",AA221="Negada"),"Já foi negado",IF(B221="Ativo",X221*8%,"Não liberado"))</f>
        <v>4720</v>
      </c>
    </row>
    <row r="222" spans="1:28">
      <c r="A222" t="s">
        <v>93</v>
      </c>
      <c r="B222" t="str">
        <f t="shared" si="37"/>
        <v>Inativo</v>
      </c>
      <c r="C222" t="str">
        <f t="shared" si="38"/>
        <v>Grey Worm Hornwood</v>
      </c>
      <c r="D222" s="15" t="s">
        <v>582</v>
      </c>
      <c r="E222" s="16" t="s">
        <v>583</v>
      </c>
      <c r="F222" s="16" t="str">
        <f t="shared" si="46"/>
        <v>000.000.322-00</v>
      </c>
      <c r="G222">
        <v>26</v>
      </c>
      <c r="H222">
        <f t="shared" ca="1" si="47"/>
        <v>26</v>
      </c>
      <c r="I222" s="12">
        <v>36540</v>
      </c>
      <c r="J222" t="s">
        <v>100</v>
      </c>
      <c r="K222" t="str">
        <f t="shared" si="39"/>
        <v>Pedra do Dragão</v>
      </c>
      <c r="L222" t="s">
        <v>174</v>
      </c>
      <c r="M222" t="str" cm="1">
        <f t="array" ref="M222">PROPER(IF(L222&lt;&gt;"",L222,_xlfn.XLOOKUP(1,($K$2:$K$398=K222)*($L$2:$L$398&lt;&gt;""),$L$2:$L$398,"")))</f>
        <v>Terras Da Coroa</v>
      </c>
      <c r="N222">
        <v>24000</v>
      </c>
      <c r="O222">
        <f t="shared" si="48"/>
        <v>24000</v>
      </c>
      <c r="P222" t="s">
        <v>584</v>
      </c>
      <c r="Q222" s="17">
        <f t="shared" si="40"/>
        <v>52000</v>
      </c>
      <c r="R222" t="s">
        <v>49</v>
      </c>
      <c r="S222" t="str">
        <f t="shared" si="41"/>
        <v>Não</v>
      </c>
      <c r="T222">
        <v>30</v>
      </c>
      <c r="U222">
        <f t="shared" si="42"/>
        <v>30</v>
      </c>
      <c r="V222" t="s">
        <v>49</v>
      </c>
      <c r="W222">
        <v>62500</v>
      </c>
      <c r="X222">
        <f t="shared" si="43"/>
        <v>62500</v>
      </c>
      <c r="Y222" t="str">
        <f t="shared" si="44"/>
        <v>Alto</v>
      </c>
      <c r="Z222" t="str">
        <f>IF(AND(Y222="Alto",S222="Sim"),"Negada","Aprovada")</f>
        <v>Aprovada</v>
      </c>
      <c r="AA222" t="str">
        <f t="shared" si="45"/>
        <v>Aprovada</v>
      </c>
      <c r="AB222" t="str">
        <f>IF(AND(Z222="Negada",AA222="Negada"),"Já foi negado",IF(B222="Ativo",X222*8%,"Não liberado"))</f>
        <v>Não liberado</v>
      </c>
    </row>
    <row r="223" spans="1:28">
      <c r="A223" t="s">
        <v>88</v>
      </c>
      <c r="B223" t="str">
        <f t="shared" si="37"/>
        <v>Ativo</v>
      </c>
      <c r="C223" t="str">
        <f t="shared" si="38"/>
        <v>Rhaegar Dayne</v>
      </c>
      <c r="D223" s="15" t="s">
        <v>585</v>
      </c>
      <c r="E223" s="16" t="s">
        <v>586</v>
      </c>
      <c r="F223" s="16" t="str">
        <f t="shared" si="46"/>
        <v>000.000.335-00</v>
      </c>
      <c r="G223">
        <v>35</v>
      </c>
      <c r="H223">
        <f t="shared" ca="1" si="47"/>
        <v>35</v>
      </c>
      <c r="I223" s="12">
        <v>33309</v>
      </c>
      <c r="J223" t="s">
        <v>147</v>
      </c>
      <c r="K223" t="str">
        <f t="shared" si="39"/>
        <v>Correrrio</v>
      </c>
      <c r="L223" t="s">
        <v>148</v>
      </c>
      <c r="M223" t="str" cm="1">
        <f t="array" ref="M223">PROPER(IF(L223&lt;&gt;"",L223,_xlfn.XLOOKUP(1,($K$2:$K$398=K223)*($L$2:$L$398&lt;&gt;""),$L$2:$L$398,"")))</f>
        <v>Terras Fluviais</v>
      </c>
      <c r="N223">
        <v>28500</v>
      </c>
      <c r="O223">
        <f t="shared" si="48"/>
        <v>28500</v>
      </c>
      <c r="P223" s="13">
        <v>48500</v>
      </c>
      <c r="Q223" s="17">
        <f t="shared" si="40"/>
        <v>48500</v>
      </c>
      <c r="R223" t="s">
        <v>49</v>
      </c>
      <c r="S223" t="str">
        <f t="shared" si="41"/>
        <v>Não</v>
      </c>
      <c r="T223">
        <v>24</v>
      </c>
      <c r="U223">
        <f t="shared" si="42"/>
        <v>24</v>
      </c>
      <c r="V223" t="s">
        <v>49</v>
      </c>
      <c r="W223">
        <v>80500</v>
      </c>
      <c r="X223">
        <f t="shared" si="43"/>
        <v>80500</v>
      </c>
      <c r="Y223" t="str">
        <f t="shared" si="44"/>
        <v>Médio</v>
      </c>
      <c r="Z223" t="str">
        <f>IF(AND(Y223="Alto",S223="Sim"),"Negada","Aprovada")</f>
        <v>Aprovada</v>
      </c>
      <c r="AA223" t="str">
        <f t="shared" si="45"/>
        <v>Aprovada</v>
      </c>
      <c r="AB223">
        <f>IF(AND(Z223="Negada",AA223="Negada"),"Já foi negado",IF(B223="Ativo",X223*8%,"Não liberado"))</f>
        <v>6440</v>
      </c>
    </row>
    <row r="224" spans="1:28">
      <c r="A224" t="s">
        <v>88</v>
      </c>
      <c r="B224" t="str">
        <f t="shared" si="37"/>
        <v>Ativo</v>
      </c>
      <c r="C224" t="str">
        <f t="shared" si="38"/>
        <v>Bran Bolton</v>
      </c>
      <c r="D224" s="15" t="s">
        <v>587</v>
      </c>
      <c r="E224" s="16" t="s">
        <v>588</v>
      </c>
      <c r="F224" s="16" t="str">
        <f t="shared" si="46"/>
        <v>000.000.003-00</v>
      </c>
      <c r="G224">
        <v>23</v>
      </c>
      <c r="H224">
        <f t="shared" ca="1" si="47"/>
        <v>23</v>
      </c>
      <c r="I224" s="12">
        <v>37785</v>
      </c>
      <c r="J224" t="s">
        <v>234</v>
      </c>
      <c r="K224" t="str">
        <f t="shared" si="39"/>
        <v>Porto Real</v>
      </c>
      <c r="L224" t="s">
        <v>423</v>
      </c>
      <c r="M224" t="str" cm="1">
        <f t="array" ref="M224">PROPER(IF(L224&lt;&gt;"",L224,_xlfn.XLOOKUP(1,($K$2:$K$398=K224)*($L$2:$L$398&lt;&gt;""),$L$2:$L$398,"")))</f>
        <v>Terras Da Coroa</v>
      </c>
      <c r="N224" s="14">
        <v>17900</v>
      </c>
      <c r="O224">
        <f t="shared" si="48"/>
        <v>17900</v>
      </c>
      <c r="P224">
        <v>28000</v>
      </c>
      <c r="Q224" s="17">
        <f t="shared" si="40"/>
        <v>28000</v>
      </c>
      <c r="R224" t="s">
        <v>49</v>
      </c>
      <c r="S224" t="str">
        <f t="shared" si="41"/>
        <v>Não</v>
      </c>
      <c r="T224">
        <v>41</v>
      </c>
      <c r="U224">
        <f t="shared" si="42"/>
        <v>41</v>
      </c>
      <c r="V224" t="s">
        <v>49</v>
      </c>
      <c r="W224">
        <v>52500</v>
      </c>
      <c r="X224">
        <f t="shared" si="43"/>
        <v>52500</v>
      </c>
      <c r="Y224" t="str">
        <f t="shared" si="44"/>
        <v>Alto</v>
      </c>
      <c r="Z224" t="str">
        <f>IF(AND(Y224="Alto",S224="Sim"),"Negada","Aprovada")</f>
        <v>Aprovada</v>
      </c>
      <c r="AA224" t="str">
        <f t="shared" si="45"/>
        <v>Aprovada</v>
      </c>
      <c r="AB224">
        <f>IF(AND(Z224="Negada",AA224="Negada"),"Já foi negado",IF(B224="Ativo",X224*8%,"Não liberado"))</f>
        <v>4200</v>
      </c>
    </row>
    <row r="225" spans="1:28">
      <c r="A225" t="s">
        <v>93</v>
      </c>
      <c r="B225" t="str">
        <f t="shared" si="37"/>
        <v>Inativo</v>
      </c>
      <c r="C225" t="str">
        <f t="shared" si="38"/>
        <v>Shae Tarly</v>
      </c>
      <c r="D225" s="15" t="s">
        <v>589</v>
      </c>
      <c r="E225" s="16" t="s">
        <v>590</v>
      </c>
      <c r="F225" s="16" t="str">
        <f t="shared" si="46"/>
        <v>000.000.235-00</v>
      </c>
      <c r="G225">
        <v>33</v>
      </c>
      <c r="H225">
        <f t="shared" ca="1" si="47"/>
        <v>33</v>
      </c>
      <c r="I225" s="12">
        <v>33902</v>
      </c>
      <c r="J225" t="s">
        <v>182</v>
      </c>
      <c r="K225" t="str">
        <f t="shared" si="39"/>
        <v>Jardim de Cima</v>
      </c>
      <c r="L225" t="s">
        <v>227</v>
      </c>
      <c r="M225" t="str" cm="1">
        <f t="array" ref="M225">PROPER(IF(L225&lt;&gt;"",L225,_xlfn.XLOOKUP(1,($K$2:$K$398=K225)*($L$2:$L$398&lt;&gt;""),$L$2:$L$398,"")))</f>
        <v>Campina</v>
      </c>
      <c r="N225">
        <v>12500</v>
      </c>
      <c r="O225">
        <f t="shared" si="48"/>
        <v>12500</v>
      </c>
      <c r="P225">
        <v>51500</v>
      </c>
      <c r="Q225" s="17">
        <f t="shared" si="40"/>
        <v>51500</v>
      </c>
      <c r="R225" t="s">
        <v>50</v>
      </c>
      <c r="S225" t="str">
        <f t="shared" si="41"/>
        <v>Sim</v>
      </c>
      <c r="T225">
        <v>44</v>
      </c>
      <c r="U225">
        <f t="shared" si="42"/>
        <v>44</v>
      </c>
      <c r="V225" t="s">
        <v>50</v>
      </c>
      <c r="W225">
        <v>24000</v>
      </c>
      <c r="X225">
        <f t="shared" si="43"/>
        <v>24000</v>
      </c>
      <c r="Y225" t="str">
        <f t="shared" si="44"/>
        <v>Alto</v>
      </c>
      <c r="Z225" t="str">
        <f>IF(AND(Y225="Alto",S225="Sim"),"Negada","Aprovada")</f>
        <v>Negada</v>
      </c>
      <c r="AA225" t="str">
        <f t="shared" si="45"/>
        <v>Negada</v>
      </c>
      <c r="AB225" t="str">
        <f>IF(AND(Z225="Negada",AA225="Negada"),"Já foi negado",IF(B225="Ativo",X225*8%,"Não liberado"))</f>
        <v>Já foi negado</v>
      </c>
    </row>
    <row r="226" spans="1:28">
      <c r="A226" t="s">
        <v>88</v>
      </c>
      <c r="B226" t="str">
        <f t="shared" si="37"/>
        <v>Ativo</v>
      </c>
      <c r="C226" t="str">
        <f t="shared" si="38"/>
        <v>Shae Mormont</v>
      </c>
      <c r="D226" s="15" t="s">
        <v>578</v>
      </c>
      <c r="E226" s="16" t="s">
        <v>591</v>
      </c>
      <c r="F226" s="16" t="str">
        <f t="shared" si="46"/>
        <v>000.000.307-00</v>
      </c>
      <c r="G226">
        <v>63</v>
      </c>
      <c r="H226">
        <f t="shared" ca="1" si="47"/>
        <v>63</v>
      </c>
      <c r="I226" s="12">
        <v>22900</v>
      </c>
      <c r="J226" t="s">
        <v>193</v>
      </c>
      <c r="K226" t="str">
        <f t="shared" si="39"/>
        <v>Dorne</v>
      </c>
      <c r="L226" t="s">
        <v>193</v>
      </c>
      <c r="M226" t="str" cm="1">
        <f t="array" ref="M226">PROPER(IF(L226&lt;&gt;"",L226,_xlfn.XLOOKUP(1,($K$2:$K$398=K226)*($L$2:$L$398&lt;&gt;""),$L$2:$L$398,"")))</f>
        <v>Dorne</v>
      </c>
      <c r="N226">
        <v>5500</v>
      </c>
      <c r="O226">
        <f t="shared" si="48"/>
        <v>5500</v>
      </c>
      <c r="P226" s="13">
        <v>41000</v>
      </c>
      <c r="Q226" s="17">
        <f t="shared" si="40"/>
        <v>41000</v>
      </c>
      <c r="R226" t="s">
        <v>49</v>
      </c>
      <c r="S226" t="str">
        <f t="shared" si="41"/>
        <v>Não</v>
      </c>
      <c r="T226">
        <v>2</v>
      </c>
      <c r="U226">
        <f t="shared" si="42"/>
        <v>2</v>
      </c>
      <c r="V226" t="s">
        <v>49</v>
      </c>
      <c r="W226">
        <v>54500</v>
      </c>
      <c r="X226">
        <f t="shared" si="43"/>
        <v>54500</v>
      </c>
      <c r="Y226" t="str">
        <f t="shared" si="44"/>
        <v>Baixo</v>
      </c>
      <c r="Z226" t="str">
        <f>IF(AND(Y226="Alto",S226="Sim"),"Negada","Aprovada")</f>
        <v>Aprovada</v>
      </c>
      <c r="AA226" t="str">
        <f t="shared" si="45"/>
        <v>Aprovada</v>
      </c>
      <c r="AB226">
        <f>IF(AND(Z226="Negada",AA226="Negada"),"Já foi negado",IF(B226="Ativo",X226*8%,"Não liberado"))</f>
        <v>4360</v>
      </c>
    </row>
    <row r="227" spans="1:28">
      <c r="A227" t="s">
        <v>93</v>
      </c>
      <c r="B227" t="str">
        <f t="shared" si="37"/>
        <v>Inativo</v>
      </c>
      <c r="C227" t="str">
        <f t="shared" si="38"/>
        <v>Melisandre Crakehall</v>
      </c>
      <c r="D227" s="15" t="s">
        <v>592</v>
      </c>
      <c r="E227" s="16" t="s">
        <v>593</v>
      </c>
      <c r="F227" s="16" t="str">
        <f t="shared" si="46"/>
        <v>000.000.260-00</v>
      </c>
      <c r="G227">
        <v>31</v>
      </c>
      <c r="H227">
        <f t="shared" ca="1" si="47"/>
        <v>31</v>
      </c>
      <c r="I227" s="12">
        <v>34885</v>
      </c>
      <c r="J227" t="s">
        <v>100</v>
      </c>
      <c r="K227" t="str">
        <f t="shared" si="39"/>
        <v>Pedra do Dragão</v>
      </c>
      <c r="L227" t="s">
        <v>101</v>
      </c>
      <c r="M227" t="str" cm="1">
        <f t="array" ref="M227">PROPER(IF(L227&lt;&gt;"",L227,_xlfn.XLOOKUP(1,($K$2:$K$398=K227)*($L$2:$L$398&lt;&gt;""),$L$2:$L$398,"")))</f>
        <v>Terras Da Coroa</v>
      </c>
      <c r="N227" s="14">
        <v>16400</v>
      </c>
      <c r="O227">
        <f t="shared" si="48"/>
        <v>16400</v>
      </c>
      <c r="P227" t="s">
        <v>594</v>
      </c>
      <c r="Q227" s="17">
        <f t="shared" si="40"/>
        <v>45500</v>
      </c>
      <c r="R227" t="s">
        <v>49</v>
      </c>
      <c r="S227" t="str">
        <f t="shared" si="41"/>
        <v>Não</v>
      </c>
      <c r="T227">
        <v>6</v>
      </c>
      <c r="U227">
        <f t="shared" si="42"/>
        <v>6</v>
      </c>
      <c r="V227" t="s">
        <v>49</v>
      </c>
      <c r="W227">
        <v>49500</v>
      </c>
      <c r="X227">
        <f t="shared" si="43"/>
        <v>49500</v>
      </c>
      <c r="Y227" t="str">
        <f t="shared" si="44"/>
        <v>Baixo</v>
      </c>
      <c r="Z227" t="str">
        <f>IF(AND(Y227="Alto",S227="Sim"),"Negada","Aprovada")</f>
        <v>Aprovada</v>
      </c>
      <c r="AA227" t="str">
        <f t="shared" si="45"/>
        <v>Aprovada</v>
      </c>
      <c r="AB227" t="str">
        <f>IF(AND(Z227="Negada",AA227="Negada"),"Já foi negado",IF(B227="Ativo",X227*8%,"Não liberado"))</f>
        <v>Não liberado</v>
      </c>
    </row>
    <row r="228" spans="1:28">
      <c r="A228" t="s">
        <v>88</v>
      </c>
      <c r="B228" t="str">
        <f t="shared" si="37"/>
        <v>Ativo</v>
      </c>
      <c r="C228" t="str">
        <f t="shared" si="38"/>
        <v>Sandor Westerling</v>
      </c>
      <c r="D228" s="15" t="s">
        <v>595</v>
      </c>
      <c r="E228" s="16" t="s">
        <v>596</v>
      </c>
      <c r="F228" s="16" t="str">
        <f t="shared" si="46"/>
        <v>000.000.008-00</v>
      </c>
      <c r="G228">
        <v>71</v>
      </c>
      <c r="H228">
        <f t="shared" ca="1" si="47"/>
        <v>71</v>
      </c>
      <c r="I228" s="12">
        <v>20000</v>
      </c>
      <c r="J228" t="s">
        <v>254</v>
      </c>
      <c r="K228" t="str">
        <f t="shared" si="39"/>
        <v>Atalaia da �gua Cinzenta</v>
      </c>
      <c r="L228" t="s">
        <v>255</v>
      </c>
      <c r="M228" t="str" cm="1">
        <f t="array" ref="M228">PROPER(IF(L228&lt;&gt;"",L228,_xlfn.XLOOKUP(1,($K$2:$K$398=K228)*($L$2:$L$398&lt;&gt;""),$L$2:$L$398,"")))</f>
        <v>Gargalo</v>
      </c>
      <c r="N228">
        <v>15100</v>
      </c>
      <c r="O228">
        <f t="shared" si="48"/>
        <v>15100</v>
      </c>
      <c r="P228" t="s">
        <v>103</v>
      </c>
      <c r="Q228" s="17" t="str">
        <f t="shared" si="40"/>
        <v>Não informado</v>
      </c>
      <c r="R228" t="s">
        <v>49</v>
      </c>
      <c r="S228" t="str">
        <f t="shared" si="41"/>
        <v>Não</v>
      </c>
      <c r="T228">
        <v>42</v>
      </c>
      <c r="U228">
        <f t="shared" si="42"/>
        <v>42</v>
      </c>
      <c r="V228" t="s">
        <v>49</v>
      </c>
      <c r="W228">
        <v>77000</v>
      </c>
      <c r="X228">
        <f t="shared" si="43"/>
        <v>77000</v>
      </c>
      <c r="Y228" t="str">
        <f t="shared" si="44"/>
        <v>Alto</v>
      </c>
      <c r="Z228" t="str">
        <f>IF(AND(Y228="Alto",S228="Sim"),"Negada","Aprovada")</f>
        <v>Aprovada</v>
      </c>
      <c r="AA228" t="str">
        <f t="shared" si="45"/>
        <v>Aprovada</v>
      </c>
      <c r="AB228">
        <f>IF(AND(Z228="Negada",AA228="Negada"),"Já foi negado",IF(B228="Ativo",X228*8%,"Não liberado"))</f>
        <v>6160</v>
      </c>
    </row>
    <row r="229" spans="1:28">
      <c r="A229" t="s">
        <v>88</v>
      </c>
      <c r="B229" t="str">
        <f t="shared" si="37"/>
        <v>Ativo</v>
      </c>
      <c r="C229" t="str">
        <f t="shared" si="38"/>
        <v>Petyr Snow</v>
      </c>
      <c r="D229" s="15" t="s">
        <v>597</v>
      </c>
      <c r="E229" s="16">
        <v>21900</v>
      </c>
      <c r="F229" s="16" t="str">
        <f t="shared" si="46"/>
        <v>000.000.219-00</v>
      </c>
      <c r="G229">
        <v>67</v>
      </c>
      <c r="H229">
        <f t="shared" ca="1" si="47"/>
        <v>67</v>
      </c>
      <c r="I229" s="12">
        <v>21619</v>
      </c>
      <c r="J229" t="s">
        <v>95</v>
      </c>
      <c r="K229" t="str">
        <f t="shared" si="39"/>
        <v>Ponta Tempestade</v>
      </c>
      <c r="L229" t="s">
        <v>144</v>
      </c>
      <c r="M229" t="str" cm="1">
        <f t="array" ref="M229">PROPER(IF(L229&lt;&gt;"",L229,_xlfn.XLOOKUP(1,($K$2:$K$398=K229)*($L$2:$L$398&lt;&gt;""),$L$2:$L$398,"")))</f>
        <v>Terras Da Tempestade</v>
      </c>
      <c r="N229">
        <v>20200</v>
      </c>
      <c r="O229">
        <f t="shared" si="48"/>
        <v>20200</v>
      </c>
      <c r="P229">
        <v>6500</v>
      </c>
      <c r="Q229" s="17">
        <f t="shared" si="40"/>
        <v>6500</v>
      </c>
      <c r="R229" t="s">
        <v>49</v>
      </c>
      <c r="S229" t="str">
        <f t="shared" si="41"/>
        <v>Não</v>
      </c>
      <c r="T229">
        <v>1</v>
      </c>
      <c r="U229">
        <f t="shared" si="42"/>
        <v>1</v>
      </c>
      <c r="V229" t="s">
        <v>49</v>
      </c>
      <c r="W229">
        <v>98500</v>
      </c>
      <c r="X229">
        <f t="shared" si="43"/>
        <v>98500</v>
      </c>
      <c r="Y229" t="str">
        <f t="shared" si="44"/>
        <v>Baixo</v>
      </c>
      <c r="Z229" t="str">
        <f>IF(AND(Y229="Alto",S229="Sim"),"Negada","Aprovada")</f>
        <v>Aprovada</v>
      </c>
      <c r="AA229" t="str">
        <f t="shared" si="45"/>
        <v>Aprovada</v>
      </c>
      <c r="AB229">
        <f>IF(AND(Z229="Negada",AA229="Negada"),"Já foi negado",IF(B229="Ativo",X229*8%,"Não liberado"))</f>
        <v>7880</v>
      </c>
    </row>
    <row r="230" spans="1:28">
      <c r="A230" t="s">
        <v>88</v>
      </c>
      <c r="B230" t="str">
        <f t="shared" si="37"/>
        <v>Ativo</v>
      </c>
      <c r="C230" t="str">
        <f t="shared" si="38"/>
        <v>Robert Tarth</v>
      </c>
      <c r="D230" s="15" t="s">
        <v>598</v>
      </c>
      <c r="E230" s="16" t="s">
        <v>599</v>
      </c>
      <c r="F230" s="16" t="str">
        <f t="shared" si="46"/>
        <v>000.000.001-00</v>
      </c>
      <c r="G230">
        <v>27</v>
      </c>
      <c r="H230">
        <f t="shared" ca="1" si="47"/>
        <v>27</v>
      </c>
      <c r="I230" s="12">
        <v>36288</v>
      </c>
      <c r="J230" t="s">
        <v>179</v>
      </c>
      <c r="K230" t="str">
        <f t="shared" si="39"/>
        <v>Winterfell</v>
      </c>
      <c r="L230" t="s">
        <v>151</v>
      </c>
      <c r="M230" t="str" cm="1">
        <f t="array" ref="M230">PROPER(IF(L230&lt;&gt;"",L230,_xlfn.XLOOKUP(1,($K$2:$K$398=K230)*($L$2:$L$398&lt;&gt;""),$L$2:$L$398,"")))</f>
        <v>Norte</v>
      </c>
      <c r="N230">
        <v>29700</v>
      </c>
      <c r="O230">
        <f t="shared" si="48"/>
        <v>29700</v>
      </c>
      <c r="P230">
        <v>12000</v>
      </c>
      <c r="Q230" s="17">
        <f t="shared" si="40"/>
        <v>12000</v>
      </c>
      <c r="R230" t="s">
        <v>49</v>
      </c>
      <c r="S230" t="str">
        <f t="shared" si="41"/>
        <v>Não</v>
      </c>
      <c r="T230">
        <v>37</v>
      </c>
      <c r="U230">
        <f t="shared" si="42"/>
        <v>37</v>
      </c>
      <c r="V230" t="s">
        <v>49</v>
      </c>
      <c r="W230">
        <v>49000</v>
      </c>
      <c r="X230">
        <f t="shared" si="43"/>
        <v>49000</v>
      </c>
      <c r="Y230" t="str">
        <f t="shared" si="44"/>
        <v>Alto</v>
      </c>
      <c r="Z230" t="str">
        <f>IF(AND(Y230="Alto",S230="Sim"),"Negada","Aprovada")</f>
        <v>Aprovada</v>
      </c>
      <c r="AA230" t="str">
        <f t="shared" si="45"/>
        <v>Aprovada</v>
      </c>
      <c r="AB230">
        <f>IF(AND(Z230="Negada",AA230="Negada"),"Já foi negado",IF(B230="Ativo",X230*8%,"Não liberado"))</f>
        <v>3920</v>
      </c>
    </row>
    <row r="231" spans="1:28">
      <c r="A231" t="s">
        <v>88</v>
      </c>
      <c r="B231" t="str">
        <f t="shared" si="37"/>
        <v>Ativo</v>
      </c>
      <c r="C231" t="str">
        <f t="shared" si="38"/>
        <v>Robb Greyjoy</v>
      </c>
      <c r="D231" s="15" t="s">
        <v>600</v>
      </c>
      <c r="E231" s="16" t="s">
        <v>601</v>
      </c>
      <c r="F231" s="16" t="str">
        <f t="shared" si="46"/>
        <v>000.000.227-00</v>
      </c>
      <c r="G231">
        <v>25</v>
      </c>
      <c r="H231">
        <f t="shared" ca="1" si="47"/>
        <v>25</v>
      </c>
      <c r="I231" s="12">
        <v>37056</v>
      </c>
      <c r="J231" t="s">
        <v>171</v>
      </c>
      <c r="K231" t="str">
        <f t="shared" si="39"/>
        <v>Fosso Cailin</v>
      </c>
      <c r="L231" t="s">
        <v>151</v>
      </c>
      <c r="M231" t="str" cm="1">
        <f t="array" ref="M231">PROPER(IF(L231&lt;&gt;"",L231,_xlfn.XLOOKUP(1,($K$2:$K$398=K231)*($L$2:$L$398&lt;&gt;""),$L$2:$L$398,"")))</f>
        <v>Norte</v>
      </c>
      <c r="N231">
        <v>25400</v>
      </c>
      <c r="O231">
        <f t="shared" si="48"/>
        <v>25400</v>
      </c>
      <c r="P231">
        <v>4000</v>
      </c>
      <c r="Q231" s="17">
        <f t="shared" si="40"/>
        <v>4000</v>
      </c>
      <c r="R231" t="s">
        <v>49</v>
      </c>
      <c r="S231" t="str">
        <f t="shared" si="41"/>
        <v>Não</v>
      </c>
      <c r="T231">
        <v>4</v>
      </c>
      <c r="U231">
        <f t="shared" si="42"/>
        <v>4</v>
      </c>
      <c r="V231" t="s">
        <v>49</v>
      </c>
      <c r="W231">
        <v>8500</v>
      </c>
      <c r="X231">
        <f t="shared" si="43"/>
        <v>8500</v>
      </c>
      <c r="Y231" t="str">
        <f t="shared" si="44"/>
        <v>Baixo</v>
      </c>
      <c r="Z231" t="str">
        <f>IF(AND(Y231="Alto",S231="Sim"),"Negada","Aprovada")</f>
        <v>Aprovada</v>
      </c>
      <c r="AA231" t="str">
        <f t="shared" si="45"/>
        <v>Aprovada</v>
      </c>
      <c r="AB231">
        <f>IF(AND(Z231="Negada",AA231="Negada"),"Já foi negado",IF(B231="Ativo",X231*8%,"Não liberado"))</f>
        <v>680</v>
      </c>
    </row>
    <row r="232" spans="1:28">
      <c r="A232" t="s">
        <v>88</v>
      </c>
      <c r="B232" t="str">
        <f t="shared" si="37"/>
        <v>Ativo</v>
      </c>
      <c r="C232" t="str">
        <f t="shared" si="38"/>
        <v>Yara  Marbrand</v>
      </c>
      <c r="D232" s="15" t="s">
        <v>602</v>
      </c>
      <c r="E232" s="16" t="s">
        <v>603</v>
      </c>
      <c r="F232" s="16" t="str">
        <f t="shared" si="46"/>
        <v>000.000.266-00</v>
      </c>
      <c r="G232">
        <v>70</v>
      </c>
      <c r="H232">
        <f t="shared" ca="1" si="47"/>
        <v>70</v>
      </c>
      <c r="I232" s="12">
        <v>20533</v>
      </c>
      <c r="J232" t="s">
        <v>254</v>
      </c>
      <c r="K232" t="str">
        <f>IFERROR(TRIM(_xlfn.TEXTBEFORE(J232,"|")),J232)</f>
        <v>Atalaia da �gua Cinzenta</v>
      </c>
      <c r="L232" t="s">
        <v>465</v>
      </c>
      <c r="M232" t="str" cm="1">
        <f t="array" ref="M232">PROPER(IF(L232&lt;&gt;"",L232,_xlfn.XLOOKUP(1,($K$2:$K$398=K232)*($L$2:$L$398&lt;&gt;""),$L$2:$L$398,"")))</f>
        <v>Gargalo</v>
      </c>
      <c r="N232">
        <v>9100</v>
      </c>
      <c r="O232">
        <f t="shared" si="48"/>
        <v>9100</v>
      </c>
      <c r="P232">
        <v>40500</v>
      </c>
      <c r="Q232" s="17">
        <f t="shared" si="40"/>
        <v>40500</v>
      </c>
      <c r="R232" t="s">
        <v>49</v>
      </c>
      <c r="S232" t="str">
        <f t="shared" si="41"/>
        <v>Não</v>
      </c>
      <c r="T232">
        <v>35</v>
      </c>
      <c r="U232">
        <f t="shared" si="42"/>
        <v>35</v>
      </c>
      <c r="V232" t="s">
        <v>49</v>
      </c>
      <c r="W232">
        <v>53000</v>
      </c>
      <c r="X232">
        <f t="shared" si="43"/>
        <v>53000</v>
      </c>
      <c r="Y232" t="str">
        <f t="shared" si="44"/>
        <v>Alto</v>
      </c>
      <c r="Z232" t="str">
        <f>IF(AND(Y232="Alto",S232="Sim"),"Negada","Aprovada")</f>
        <v>Aprovada</v>
      </c>
      <c r="AA232" t="str">
        <f t="shared" si="45"/>
        <v>Aprovada</v>
      </c>
      <c r="AB232">
        <f>IF(AND(Z232="Negada",AA232="Negada"),"Já foi negado",IF(B232="Ativo",X232*8%,"Não liberado"))</f>
        <v>4240</v>
      </c>
    </row>
    <row r="233" spans="1:28">
      <c r="A233" t="s">
        <v>93</v>
      </c>
      <c r="B233" t="str">
        <f t="shared" si="37"/>
        <v>Inativo</v>
      </c>
      <c r="C233" t="str">
        <f t="shared" si="38"/>
        <v>Cersei  Marbrand</v>
      </c>
      <c r="D233" s="15" t="s">
        <v>604</v>
      </c>
      <c r="E233" s="16" t="s">
        <v>605</v>
      </c>
      <c r="F233" s="16" t="str">
        <f t="shared" si="46"/>
        <v>000.000.158-00</v>
      </c>
      <c r="G233">
        <v>57</v>
      </c>
      <c r="H233">
        <f t="shared" ca="1" si="47"/>
        <v>57</v>
      </c>
      <c r="I233" s="12">
        <v>25324</v>
      </c>
      <c r="J233" t="s">
        <v>163</v>
      </c>
      <c r="K233" t="str">
        <f t="shared" si="39"/>
        <v>Ilha dos Ursos</v>
      </c>
      <c r="L233" t="s">
        <v>164</v>
      </c>
      <c r="M233" t="str" cm="1">
        <f t="array" ref="M233">PROPER(IF(L233&lt;&gt;"",L233,_xlfn.XLOOKUP(1,($K$2:$K$398=K233)*($L$2:$L$398&lt;&gt;""),$L$2:$L$398,"")))</f>
        <v>Norte</v>
      </c>
      <c r="N233">
        <v>9500</v>
      </c>
      <c r="O233">
        <f t="shared" si="48"/>
        <v>9500</v>
      </c>
      <c r="P233">
        <v>58000</v>
      </c>
      <c r="Q233" s="17">
        <f t="shared" si="40"/>
        <v>58000</v>
      </c>
      <c r="R233" t="s">
        <v>200</v>
      </c>
      <c r="S233" t="str">
        <f t="shared" si="41"/>
        <v>Não</v>
      </c>
      <c r="T233">
        <v>23</v>
      </c>
      <c r="U233">
        <f t="shared" si="42"/>
        <v>23</v>
      </c>
      <c r="V233" t="s">
        <v>200</v>
      </c>
      <c r="W233">
        <v>81500</v>
      </c>
      <c r="X233">
        <f t="shared" si="43"/>
        <v>81500</v>
      </c>
      <c r="Y233" t="str">
        <f t="shared" si="44"/>
        <v>Médio</v>
      </c>
      <c r="Z233" t="str">
        <f>IF(AND(Y233="Alto",S233="Sim"),"Negada","Aprovada")</f>
        <v>Aprovada</v>
      </c>
      <c r="AA233" t="str">
        <f t="shared" si="45"/>
        <v>Aprovada</v>
      </c>
      <c r="AB233" t="str">
        <f>IF(AND(Z233="Negada",AA233="Negada"),"Já foi negado",IF(B233="Ativo",X233*8%,"Não liberado"))</f>
        <v>Não liberado</v>
      </c>
    </row>
    <row r="234" spans="1:28">
      <c r="A234" t="s">
        <v>93</v>
      </c>
      <c r="B234" t="str">
        <f t="shared" si="37"/>
        <v>Inativo</v>
      </c>
      <c r="C234" t="str">
        <f t="shared" si="38"/>
        <v>Melisandre Baratheon</v>
      </c>
      <c r="D234" s="15" t="s">
        <v>606</v>
      </c>
      <c r="E234" s="16" t="s">
        <v>607</v>
      </c>
      <c r="F234" s="16" t="str">
        <f t="shared" si="46"/>
        <v>000.000.020-00</v>
      </c>
      <c r="G234">
        <v>58</v>
      </c>
      <c r="H234">
        <f t="shared" ca="1" si="47"/>
        <v>58</v>
      </c>
      <c r="I234" s="12">
        <v>25054</v>
      </c>
      <c r="J234" t="s">
        <v>234</v>
      </c>
      <c r="K234" t="str">
        <f t="shared" si="39"/>
        <v>Porto Real</v>
      </c>
      <c r="L234" t="s">
        <v>174</v>
      </c>
      <c r="M234" t="str" cm="1">
        <f t="array" ref="M234">PROPER(IF(L234&lt;&gt;"",L234,_xlfn.XLOOKUP(1,($K$2:$K$398=K234)*($L$2:$L$398&lt;&gt;""),$L$2:$L$398,"")))</f>
        <v>Terras Da Coroa</v>
      </c>
      <c r="N234" s="13">
        <v>4500</v>
      </c>
      <c r="O234">
        <f t="shared" si="48"/>
        <v>4500</v>
      </c>
      <c r="P234" s="13">
        <v>20000</v>
      </c>
      <c r="Q234" s="17">
        <f t="shared" si="40"/>
        <v>20000</v>
      </c>
      <c r="R234" t="s">
        <v>50</v>
      </c>
      <c r="S234" t="str">
        <f t="shared" si="41"/>
        <v>Sim</v>
      </c>
      <c r="T234">
        <v>9</v>
      </c>
      <c r="U234">
        <f t="shared" si="42"/>
        <v>9</v>
      </c>
      <c r="V234" t="s">
        <v>50</v>
      </c>
      <c r="W234">
        <v>49000</v>
      </c>
      <c r="X234">
        <f t="shared" si="43"/>
        <v>49000</v>
      </c>
      <c r="Y234" t="str">
        <f t="shared" si="44"/>
        <v>Baixo</v>
      </c>
      <c r="Z234" t="str">
        <f>IF(AND(Y234="Alto",S234="Sim"),"Negada","Aprovada")</f>
        <v>Aprovada</v>
      </c>
      <c r="AA234" t="str">
        <f t="shared" si="45"/>
        <v>Aprovada</v>
      </c>
      <c r="AB234" t="str">
        <f>IF(AND(Z234="Negada",AA234="Negada"),"Já foi negado",IF(B234="Ativo",X234*8%,"Não liberado"))</f>
        <v>Não liberado</v>
      </c>
    </row>
    <row r="235" spans="1:28">
      <c r="A235" t="s">
        <v>93</v>
      </c>
      <c r="B235" t="str">
        <f t="shared" si="37"/>
        <v>Inativo</v>
      </c>
      <c r="C235" t="str">
        <f t="shared" si="38"/>
        <v>Yara Tallhart</v>
      </c>
      <c r="D235" s="15" t="s">
        <v>608</v>
      </c>
      <c r="E235" s="16">
        <v>6400</v>
      </c>
      <c r="F235" s="16" t="str">
        <f t="shared" si="46"/>
        <v>000.000.064-00</v>
      </c>
      <c r="G235">
        <v>57</v>
      </c>
      <c r="H235">
        <f t="shared" ca="1" si="47"/>
        <v>57</v>
      </c>
      <c r="I235" s="12">
        <v>25206</v>
      </c>
      <c r="J235" t="s">
        <v>147</v>
      </c>
      <c r="K235" t="str">
        <f t="shared" si="39"/>
        <v>Correrrio</v>
      </c>
      <c r="L235" t="s">
        <v>363</v>
      </c>
      <c r="M235" t="str" cm="1">
        <f t="array" ref="M235">PROPER(IF(L235&lt;&gt;"",L235,_xlfn.XLOOKUP(1,($K$2:$K$398=K235)*($L$2:$L$398&lt;&gt;""),$L$2:$L$398,"")))</f>
        <v>Terras Fluviais</v>
      </c>
      <c r="N235">
        <v>3400</v>
      </c>
      <c r="O235">
        <f t="shared" si="48"/>
        <v>3400</v>
      </c>
      <c r="P235">
        <v>0</v>
      </c>
      <c r="Q235" s="17">
        <f t="shared" si="40"/>
        <v>0</v>
      </c>
      <c r="R235" t="s">
        <v>49</v>
      </c>
      <c r="S235" t="str">
        <f t="shared" si="41"/>
        <v>Não</v>
      </c>
      <c r="T235">
        <v>20</v>
      </c>
      <c r="U235">
        <f t="shared" si="42"/>
        <v>20</v>
      </c>
      <c r="V235" t="s">
        <v>49</v>
      </c>
      <c r="W235">
        <v>19500</v>
      </c>
      <c r="X235">
        <f t="shared" si="43"/>
        <v>19500</v>
      </c>
      <c r="Y235" t="str">
        <f t="shared" si="44"/>
        <v>Médio</v>
      </c>
      <c r="Z235" t="str">
        <f>IF(AND(Y235="Alto",S235="Sim"),"Negada","Aprovada")</f>
        <v>Aprovada</v>
      </c>
      <c r="AA235" t="str">
        <f t="shared" si="45"/>
        <v>Aprovada</v>
      </c>
      <c r="AB235" t="str">
        <f>IF(AND(Z235="Negada",AA235="Negada"),"Já foi negado",IF(B235="Ativo",X235*8%,"Não liberado"))</f>
        <v>Não liberado</v>
      </c>
    </row>
    <row r="236" spans="1:28">
      <c r="A236" t="s">
        <v>88</v>
      </c>
      <c r="B236" t="str">
        <f t="shared" si="37"/>
        <v>Ativo</v>
      </c>
      <c r="C236" t="str">
        <f t="shared" si="38"/>
        <v>Gilly Mormont</v>
      </c>
      <c r="D236" s="15" t="s">
        <v>609</v>
      </c>
      <c r="E236" s="16" t="s">
        <v>610</v>
      </c>
      <c r="F236" s="16" t="str">
        <f t="shared" si="46"/>
        <v>000.000.220-00</v>
      </c>
      <c r="G236">
        <v>65</v>
      </c>
      <c r="H236">
        <f t="shared" ca="1" si="47"/>
        <v>65</v>
      </c>
      <c r="I236" s="12">
        <v>22366</v>
      </c>
      <c r="J236" t="s">
        <v>182</v>
      </c>
      <c r="K236" t="str">
        <f t="shared" si="39"/>
        <v>Jardim de Cima</v>
      </c>
      <c r="L236" t="s">
        <v>227</v>
      </c>
      <c r="M236" t="str" cm="1">
        <f t="array" ref="M236">PROPER(IF(L236&lt;&gt;"",L236,_xlfn.XLOOKUP(1,($K$2:$K$398=K236)*($L$2:$L$398&lt;&gt;""),$L$2:$L$398,"")))</f>
        <v>Campina</v>
      </c>
      <c r="N236" s="14">
        <v>18000</v>
      </c>
      <c r="O236">
        <f t="shared" si="48"/>
        <v>18000</v>
      </c>
      <c r="P236">
        <v>0</v>
      </c>
      <c r="Q236" s="17">
        <f t="shared" si="40"/>
        <v>0</v>
      </c>
      <c r="R236" t="s">
        <v>49</v>
      </c>
      <c r="S236" t="str">
        <f t="shared" si="41"/>
        <v>Não</v>
      </c>
      <c r="T236">
        <v>27</v>
      </c>
      <c r="U236">
        <f t="shared" si="42"/>
        <v>27</v>
      </c>
      <c r="V236" t="s">
        <v>49</v>
      </c>
      <c r="W236">
        <v>38500</v>
      </c>
      <c r="X236">
        <f t="shared" si="43"/>
        <v>38500</v>
      </c>
      <c r="Y236" t="str">
        <f t="shared" si="44"/>
        <v>Alto</v>
      </c>
      <c r="Z236" t="str">
        <f>IF(AND(Y236="Alto",S236="Sim"),"Negada","Aprovada")</f>
        <v>Aprovada</v>
      </c>
      <c r="AA236" t="str">
        <f t="shared" si="45"/>
        <v>Aprovada</v>
      </c>
      <c r="AB236">
        <f>IF(AND(Z236="Negada",AA236="Negada"),"Já foi negado",IF(B236="Ativo",X236*8%,"Não liberado"))</f>
        <v>3080</v>
      </c>
    </row>
    <row r="237" spans="1:28">
      <c r="A237" t="s">
        <v>88</v>
      </c>
      <c r="B237" t="str">
        <f t="shared" si="37"/>
        <v>Ativo</v>
      </c>
      <c r="C237" t="str">
        <f t="shared" si="38"/>
        <v>Brienne Dondarrion</v>
      </c>
      <c r="D237" s="15" t="s">
        <v>611</v>
      </c>
      <c r="E237" s="16" t="s">
        <v>612</v>
      </c>
      <c r="F237" s="16" t="str">
        <f t="shared" si="46"/>
        <v>000.000.256-00</v>
      </c>
      <c r="G237">
        <v>39</v>
      </c>
      <c r="H237">
        <f t="shared" ca="1" si="47"/>
        <v>39</v>
      </c>
      <c r="I237" s="12">
        <v>31814</v>
      </c>
      <c r="J237" t="s">
        <v>163</v>
      </c>
      <c r="K237" t="str">
        <f t="shared" si="39"/>
        <v>Ilha dos Ursos</v>
      </c>
      <c r="L237" t="s">
        <v>151</v>
      </c>
      <c r="M237" t="str" cm="1">
        <f t="array" ref="M237">PROPER(IF(L237&lt;&gt;"",L237,_xlfn.XLOOKUP(1,($K$2:$K$398=K237)*($L$2:$L$398&lt;&gt;""),$L$2:$L$398,"")))</f>
        <v>Norte</v>
      </c>
      <c r="N237" s="13">
        <v>9300</v>
      </c>
      <c r="O237">
        <f t="shared" si="48"/>
        <v>9300</v>
      </c>
      <c r="P237" s="13">
        <v>36500</v>
      </c>
      <c r="Q237" s="17">
        <f t="shared" si="40"/>
        <v>36500</v>
      </c>
      <c r="R237" t="s">
        <v>49</v>
      </c>
      <c r="S237" t="str">
        <f t="shared" si="41"/>
        <v>Não</v>
      </c>
      <c r="U237">
        <f t="shared" si="42"/>
        <v>0</v>
      </c>
      <c r="V237" t="s">
        <v>49</v>
      </c>
      <c r="W237">
        <v>3000</v>
      </c>
      <c r="X237">
        <f t="shared" si="43"/>
        <v>3000</v>
      </c>
      <c r="Y237" t="str">
        <f t="shared" si="44"/>
        <v>Baixo</v>
      </c>
      <c r="Z237" t="str">
        <f>IF(AND(Y237="Alto",S237="Sim"),"Negada","Aprovada")</f>
        <v>Aprovada</v>
      </c>
      <c r="AA237" t="str">
        <f t="shared" si="45"/>
        <v>Aprovada</v>
      </c>
      <c r="AB237">
        <f>IF(AND(Z237="Negada",AA237="Negada"),"Já foi negado",IF(B237="Ativo",X237*8%,"Não liberado"))</f>
        <v>240</v>
      </c>
    </row>
    <row r="238" spans="1:28">
      <c r="A238" t="s">
        <v>88</v>
      </c>
      <c r="B238" t="str">
        <f t="shared" si="37"/>
        <v>Ativo</v>
      </c>
      <c r="C238" t="str">
        <f t="shared" si="38"/>
        <v>Missandei Glover</v>
      </c>
      <c r="D238" s="15" t="s">
        <v>613</v>
      </c>
      <c r="E238" s="16">
        <v>30500</v>
      </c>
      <c r="F238" s="16" t="str">
        <f t="shared" si="46"/>
        <v>000.000.305-00</v>
      </c>
      <c r="G238">
        <v>62</v>
      </c>
      <c r="H238">
        <f t="shared" ca="1" si="47"/>
        <v>62</v>
      </c>
      <c r="I238" s="12">
        <v>23278</v>
      </c>
      <c r="J238" t="s">
        <v>150</v>
      </c>
      <c r="K238" t="str">
        <f t="shared" si="39"/>
        <v>Castelo Negro</v>
      </c>
      <c r="L238" t="s">
        <v>151</v>
      </c>
      <c r="M238" t="str" cm="1">
        <f t="array" ref="M238">PROPER(IF(L238&lt;&gt;"",L238,_xlfn.XLOOKUP(1,($K$2:$K$398=K238)*($L$2:$L$398&lt;&gt;""),$L$2:$L$398,"")))</f>
        <v>Norte</v>
      </c>
      <c r="N238">
        <v>17000</v>
      </c>
      <c r="O238">
        <f t="shared" si="48"/>
        <v>17000</v>
      </c>
      <c r="P238">
        <v>64000</v>
      </c>
      <c r="Q238" s="17">
        <f t="shared" si="40"/>
        <v>64000</v>
      </c>
      <c r="R238" t="s">
        <v>50</v>
      </c>
      <c r="S238" t="str">
        <f t="shared" si="41"/>
        <v>Sim</v>
      </c>
      <c r="T238">
        <v>21</v>
      </c>
      <c r="U238">
        <f t="shared" si="42"/>
        <v>21</v>
      </c>
      <c r="V238" t="s">
        <v>50</v>
      </c>
      <c r="W238">
        <v>19000</v>
      </c>
      <c r="X238">
        <f t="shared" si="43"/>
        <v>19000</v>
      </c>
      <c r="Y238" t="str">
        <f t="shared" si="44"/>
        <v>Médio</v>
      </c>
      <c r="Z238" t="str">
        <f>IF(AND(Y238="Alto",S238="Sim"),"Negada","Aprovada")</f>
        <v>Aprovada</v>
      </c>
      <c r="AA238" t="str">
        <f t="shared" si="45"/>
        <v>Negada</v>
      </c>
      <c r="AB238">
        <f>IF(AND(Z238="Negada",AA238="Negada"),"Já foi negado",IF(B238="Ativo",X238*8%,"Não liberado"))</f>
        <v>1520</v>
      </c>
    </row>
    <row r="239" spans="1:28">
      <c r="A239" t="s">
        <v>93</v>
      </c>
      <c r="B239" t="str">
        <f t="shared" si="37"/>
        <v>Inativo</v>
      </c>
      <c r="C239" t="str">
        <f t="shared" si="38"/>
        <v>Bronn Manderly</v>
      </c>
      <c r="D239" s="15" t="s">
        <v>614</v>
      </c>
      <c r="E239" s="16" t="s">
        <v>615</v>
      </c>
      <c r="F239" s="16" t="str">
        <f t="shared" si="46"/>
        <v>000.000.074-00</v>
      </c>
      <c r="G239">
        <v>69</v>
      </c>
      <c r="H239">
        <f t="shared" ca="1" si="47"/>
        <v>69</v>
      </c>
      <c r="I239" s="12">
        <v>20785</v>
      </c>
      <c r="J239" t="s">
        <v>150</v>
      </c>
      <c r="K239" t="str">
        <f t="shared" si="39"/>
        <v>Castelo Negro</v>
      </c>
      <c r="L239" t="s">
        <v>164</v>
      </c>
      <c r="M239" t="str" cm="1">
        <f t="array" ref="M239">PROPER(IF(L239&lt;&gt;"",L239,_xlfn.XLOOKUP(1,($K$2:$K$398=K239)*($L$2:$L$398&lt;&gt;""),$L$2:$L$398,"")))</f>
        <v>Norte</v>
      </c>
      <c r="N239">
        <v>16000</v>
      </c>
      <c r="O239">
        <f t="shared" si="48"/>
        <v>16000</v>
      </c>
      <c r="P239" s="13">
        <v>48000</v>
      </c>
      <c r="Q239" s="17">
        <f t="shared" si="40"/>
        <v>48000</v>
      </c>
      <c r="R239" t="s">
        <v>49</v>
      </c>
      <c r="S239" t="str">
        <f t="shared" si="41"/>
        <v>Não</v>
      </c>
      <c r="T239">
        <v>29</v>
      </c>
      <c r="U239">
        <f t="shared" si="42"/>
        <v>29</v>
      </c>
      <c r="V239" t="s">
        <v>49</v>
      </c>
      <c r="W239">
        <v>74500</v>
      </c>
      <c r="X239">
        <f t="shared" si="43"/>
        <v>74500</v>
      </c>
      <c r="Y239" t="str">
        <f t="shared" si="44"/>
        <v>Alto</v>
      </c>
      <c r="Z239" t="str">
        <f>IF(AND(Y239="Alto",S239="Sim"),"Negada","Aprovada")</f>
        <v>Aprovada</v>
      </c>
      <c r="AA239" t="str">
        <f t="shared" si="45"/>
        <v>Aprovada</v>
      </c>
      <c r="AB239" t="str">
        <f>IF(AND(Z239="Negada",AA239="Negada"),"Já foi negado",IF(B239="Ativo",X239*8%,"Não liberado"))</f>
        <v>Não liberado</v>
      </c>
    </row>
    <row r="240" spans="1:28">
      <c r="A240" t="s">
        <v>93</v>
      </c>
      <c r="B240" t="str">
        <f t="shared" si="37"/>
        <v>Inativo</v>
      </c>
      <c r="C240" t="str">
        <f t="shared" si="38"/>
        <v>Aegon Florent</v>
      </c>
      <c r="D240" s="15" t="s">
        <v>616</v>
      </c>
      <c r="E240" s="16">
        <v>27100</v>
      </c>
      <c r="F240" s="16" t="str">
        <f t="shared" si="46"/>
        <v>000.000.271-00</v>
      </c>
      <c r="G240">
        <v>55</v>
      </c>
      <c r="H240">
        <f t="shared" ca="1" si="47"/>
        <v>55</v>
      </c>
      <c r="I240" s="12">
        <v>25895</v>
      </c>
      <c r="J240" t="s">
        <v>130</v>
      </c>
      <c r="K240" t="str">
        <f t="shared" si="39"/>
        <v>Meereen</v>
      </c>
      <c r="L240" t="s">
        <v>131</v>
      </c>
      <c r="M240" t="str" cm="1">
        <f t="array" ref="M240">PROPER(IF(L240&lt;&gt;"",L240,_xlfn.XLOOKUP(1,($K$2:$K$398=K240)*($L$2:$L$398&lt;&gt;""),$L$2:$L$398,"")))</f>
        <v>Essos</v>
      </c>
      <c r="N240">
        <v>6800</v>
      </c>
      <c r="O240">
        <f t="shared" si="48"/>
        <v>6800</v>
      </c>
      <c r="P240">
        <v>12000</v>
      </c>
      <c r="Q240" s="17">
        <f t="shared" si="40"/>
        <v>12000</v>
      </c>
      <c r="R240" t="s">
        <v>49</v>
      </c>
      <c r="S240" t="str">
        <f t="shared" si="41"/>
        <v>Não</v>
      </c>
      <c r="T240">
        <v>6</v>
      </c>
      <c r="U240">
        <f t="shared" si="42"/>
        <v>6</v>
      </c>
      <c r="V240" t="s">
        <v>49</v>
      </c>
      <c r="W240">
        <v>11000</v>
      </c>
      <c r="X240">
        <f t="shared" si="43"/>
        <v>11000</v>
      </c>
      <c r="Y240" t="str">
        <f t="shared" si="44"/>
        <v>Baixo</v>
      </c>
      <c r="Z240" t="str">
        <f>IF(AND(Y240="Alto",S240="Sim"),"Negada","Aprovada")</f>
        <v>Aprovada</v>
      </c>
      <c r="AA240" t="str">
        <f t="shared" si="45"/>
        <v>Aprovada</v>
      </c>
      <c r="AB240" t="str">
        <f>IF(AND(Z240="Negada",AA240="Negada"),"Já foi negado",IF(B240="Ativo",X240*8%,"Não liberado"))</f>
        <v>Não liberado</v>
      </c>
    </row>
    <row r="241" spans="1:28">
      <c r="A241" t="s">
        <v>88</v>
      </c>
      <c r="B241" t="str">
        <f t="shared" si="37"/>
        <v>Ativo</v>
      </c>
      <c r="C241" t="str">
        <f t="shared" si="38"/>
        <v>Daario  Dayne</v>
      </c>
      <c r="D241" s="15" t="s">
        <v>617</v>
      </c>
      <c r="E241" s="16" t="s">
        <v>618</v>
      </c>
      <c r="F241" s="16" t="str">
        <f t="shared" si="46"/>
        <v>000.000.144-00</v>
      </c>
      <c r="G241">
        <v>25</v>
      </c>
      <c r="H241">
        <f t="shared" ca="1" si="47"/>
        <v>25</v>
      </c>
      <c r="I241" s="12">
        <v>37026</v>
      </c>
      <c r="J241" t="s">
        <v>312</v>
      </c>
      <c r="K241" t="str">
        <f t="shared" si="39"/>
        <v>Solar do Entardecer</v>
      </c>
      <c r="L241" t="s">
        <v>96</v>
      </c>
      <c r="M241" t="str" cm="1">
        <f t="array" ref="M241">PROPER(IF(L241&lt;&gt;"",L241,_xlfn.XLOOKUP(1,($K$2:$K$398=K241)*($L$2:$L$398&lt;&gt;""),$L$2:$L$398,"")))</f>
        <v>Terras Da Tempestade</v>
      </c>
      <c r="N241">
        <v>28200</v>
      </c>
      <c r="O241">
        <f t="shared" si="48"/>
        <v>28200</v>
      </c>
      <c r="P241">
        <v>0</v>
      </c>
      <c r="Q241" s="17">
        <f t="shared" si="40"/>
        <v>0</v>
      </c>
      <c r="R241" t="s">
        <v>49</v>
      </c>
      <c r="S241" t="str">
        <f t="shared" si="41"/>
        <v>Não</v>
      </c>
      <c r="T241">
        <v>29</v>
      </c>
      <c r="U241">
        <f t="shared" si="42"/>
        <v>29</v>
      </c>
      <c r="V241" t="s">
        <v>49</v>
      </c>
      <c r="W241">
        <v>92500</v>
      </c>
      <c r="X241">
        <f t="shared" si="43"/>
        <v>92500</v>
      </c>
      <c r="Y241" t="str">
        <f t="shared" si="44"/>
        <v>Alto</v>
      </c>
      <c r="Z241" t="str">
        <f>IF(AND(Y241="Alto",S241="Sim"),"Negada","Aprovada")</f>
        <v>Aprovada</v>
      </c>
      <c r="AA241" t="str">
        <f t="shared" si="45"/>
        <v>Aprovada</v>
      </c>
      <c r="AB241">
        <f>IF(AND(Z241="Negada",AA241="Negada"),"Já foi negado",IF(B241="Ativo",X241*8%,"Não liberado"))</f>
        <v>7400</v>
      </c>
    </row>
    <row r="242" spans="1:28">
      <c r="A242" t="s">
        <v>93</v>
      </c>
      <c r="B242" t="str">
        <f t="shared" si="37"/>
        <v>Inativo</v>
      </c>
      <c r="C242" t="str">
        <f t="shared" si="38"/>
        <v>Roose Cerwyn</v>
      </c>
      <c r="D242" s="15" t="s">
        <v>374</v>
      </c>
      <c r="E242" s="16">
        <v>34900</v>
      </c>
      <c r="F242" s="16" t="str">
        <f t="shared" si="46"/>
        <v>000.000.349-00</v>
      </c>
      <c r="G242" t="s">
        <v>619</v>
      </c>
      <c r="H242">
        <f t="shared" ca="1" si="47"/>
        <v>32</v>
      </c>
      <c r="I242" s="12">
        <v>34387</v>
      </c>
      <c r="J242" t="s">
        <v>150</v>
      </c>
      <c r="K242" t="str">
        <f t="shared" si="39"/>
        <v>Castelo Negro</v>
      </c>
      <c r="L242" t="s">
        <v>151</v>
      </c>
      <c r="M242" t="str" cm="1">
        <f t="array" ref="M242">PROPER(IF(L242&lt;&gt;"",L242,_xlfn.XLOOKUP(1,($K$2:$K$398=K242)*($L$2:$L$398&lt;&gt;""),$L$2:$L$398,"")))</f>
        <v>Norte</v>
      </c>
      <c r="N242">
        <v>20500</v>
      </c>
      <c r="O242">
        <f t="shared" si="48"/>
        <v>20500</v>
      </c>
      <c r="P242">
        <v>0</v>
      </c>
      <c r="Q242" s="17">
        <f t="shared" si="40"/>
        <v>0</v>
      </c>
      <c r="R242" t="s">
        <v>49</v>
      </c>
      <c r="S242" t="str">
        <f t="shared" si="41"/>
        <v>Não</v>
      </c>
      <c r="T242" t="s">
        <v>431</v>
      </c>
      <c r="U242">
        <f t="shared" si="42"/>
        <v>41</v>
      </c>
      <c r="V242" t="s">
        <v>49</v>
      </c>
      <c r="W242">
        <v>54500</v>
      </c>
      <c r="X242">
        <f t="shared" si="43"/>
        <v>54500</v>
      </c>
      <c r="Y242" t="str">
        <f t="shared" si="44"/>
        <v>Alto</v>
      </c>
      <c r="Z242" t="str">
        <f>IF(AND(Y242="Alto",S242="Sim"),"Negada","Aprovada")</f>
        <v>Aprovada</v>
      </c>
      <c r="AA242" t="str">
        <f t="shared" si="45"/>
        <v>Aprovada</v>
      </c>
      <c r="AB242" t="str">
        <f>IF(AND(Z242="Negada",AA242="Negada"),"Já foi negado",IF(B242="Ativo",X242*8%,"Não liberado"))</f>
        <v>Não liberado</v>
      </c>
    </row>
    <row r="243" spans="1:28">
      <c r="A243" t="s">
        <v>88</v>
      </c>
      <c r="B243" t="str">
        <f t="shared" si="37"/>
        <v>Ativo</v>
      </c>
      <c r="C243" t="str">
        <f t="shared" si="38"/>
        <v>Roose Dondarrion</v>
      </c>
      <c r="D243" s="15" t="s">
        <v>620</v>
      </c>
      <c r="E243" s="16" t="s">
        <v>621</v>
      </c>
      <c r="F243" s="16" t="str">
        <f t="shared" si="46"/>
        <v>000.000.126-00</v>
      </c>
      <c r="G243">
        <v>53</v>
      </c>
      <c r="H243">
        <f t="shared" ca="1" si="47"/>
        <v>53</v>
      </c>
      <c r="I243" s="12">
        <v>26620</v>
      </c>
      <c r="J243" t="s">
        <v>91</v>
      </c>
      <c r="K243" t="str">
        <f t="shared" si="39"/>
        <v>Ninho da Águia</v>
      </c>
      <c r="L243" t="s">
        <v>110</v>
      </c>
      <c r="M243" t="str" cm="1">
        <f t="array" ref="M243">PROPER(IF(L243&lt;&gt;"",L243,_xlfn.XLOOKUP(1,($K$2:$K$398=K243)*($L$2:$L$398&lt;&gt;""),$L$2:$L$398,"")))</f>
        <v>Vale</v>
      </c>
      <c r="N243" s="13">
        <v>21300</v>
      </c>
      <c r="O243">
        <f t="shared" si="48"/>
        <v>21300</v>
      </c>
      <c r="P243">
        <v>79500</v>
      </c>
      <c r="Q243" s="17">
        <f t="shared" si="40"/>
        <v>79500</v>
      </c>
      <c r="R243" t="s">
        <v>49</v>
      </c>
      <c r="S243" t="str">
        <f t="shared" si="41"/>
        <v>Não</v>
      </c>
      <c r="T243" t="s">
        <v>568</v>
      </c>
      <c r="U243">
        <f t="shared" si="42"/>
        <v>18</v>
      </c>
      <c r="V243" t="s">
        <v>49</v>
      </c>
      <c r="W243">
        <v>19000</v>
      </c>
      <c r="X243">
        <f t="shared" si="43"/>
        <v>19000</v>
      </c>
      <c r="Y243" t="str">
        <f t="shared" si="44"/>
        <v>Médio</v>
      </c>
      <c r="Z243" t="str">
        <f>IF(AND(Y243="Alto",S243="Sim"),"Negada","Aprovada")</f>
        <v>Aprovada</v>
      </c>
      <c r="AA243" t="str">
        <f t="shared" si="45"/>
        <v>Aprovada</v>
      </c>
      <c r="AB243">
        <f>IF(AND(Z243="Negada",AA243="Negada"),"Já foi negado",IF(B243="Ativo",X243*8%,"Não liberado"))</f>
        <v>1520</v>
      </c>
    </row>
    <row r="244" spans="1:28">
      <c r="A244" t="s">
        <v>88</v>
      </c>
      <c r="B244" t="str">
        <f t="shared" si="37"/>
        <v>Ativo</v>
      </c>
      <c r="C244" t="str">
        <f t="shared" si="38"/>
        <v>Stannis Greyjoy</v>
      </c>
      <c r="D244" s="15" t="s">
        <v>622</v>
      </c>
      <c r="E244" s="16" t="s">
        <v>623</v>
      </c>
      <c r="F244" s="16" t="str">
        <f t="shared" si="46"/>
        <v>000.000.236-00</v>
      </c>
      <c r="G244">
        <v>69</v>
      </c>
      <c r="H244">
        <f t="shared" ca="1" si="47"/>
        <v>69</v>
      </c>
      <c r="I244" s="12">
        <v>20943</v>
      </c>
      <c r="J244" t="s">
        <v>535</v>
      </c>
      <c r="K244" t="str">
        <f t="shared" si="39"/>
        <v>Pedra do Dragão</v>
      </c>
      <c r="M244" t="str" cm="1">
        <f t="array" ref="M244">PROPER(IF(L244&lt;&gt;"",L244,_xlfn.XLOOKUP(1,($K$2:$K$398=K244)*($L$2:$L$398&lt;&gt;""),$L$2:$L$398,"")))</f>
        <v>Terras Da Coroa</v>
      </c>
      <c r="N244">
        <v>13800</v>
      </c>
      <c r="O244">
        <f t="shared" si="48"/>
        <v>13800</v>
      </c>
      <c r="P244">
        <v>62000</v>
      </c>
      <c r="Q244" s="17">
        <f t="shared" si="40"/>
        <v>62000</v>
      </c>
      <c r="R244" t="s">
        <v>49</v>
      </c>
      <c r="S244" t="str">
        <f t="shared" si="41"/>
        <v>Não</v>
      </c>
      <c r="T244">
        <v>31</v>
      </c>
      <c r="U244">
        <f t="shared" si="42"/>
        <v>31</v>
      </c>
      <c r="V244" t="s">
        <v>49</v>
      </c>
      <c r="W244">
        <v>60500</v>
      </c>
      <c r="X244">
        <f t="shared" si="43"/>
        <v>60500</v>
      </c>
      <c r="Y244" t="str">
        <f t="shared" si="44"/>
        <v>Alto</v>
      </c>
      <c r="Z244" t="str">
        <f>IF(AND(Y244="Alto",S244="Sim"),"Negada","Aprovada")</f>
        <v>Aprovada</v>
      </c>
      <c r="AA244" t="str">
        <f t="shared" si="45"/>
        <v>Aprovada</v>
      </c>
      <c r="AB244">
        <f>IF(AND(Z244="Negada",AA244="Negada"),"Já foi negado",IF(B244="Ativo",X244*8%,"Não liberado"))</f>
        <v>4840</v>
      </c>
    </row>
    <row r="245" spans="1:28">
      <c r="A245" t="s">
        <v>88</v>
      </c>
      <c r="B245" t="str">
        <f t="shared" si="37"/>
        <v>Ativo</v>
      </c>
      <c r="C245" t="str">
        <f t="shared" si="38"/>
        <v>Thoros Greyjoy</v>
      </c>
      <c r="D245" s="15" t="s">
        <v>624</v>
      </c>
      <c r="E245" s="16" t="s">
        <v>625</v>
      </c>
      <c r="F245" s="16" t="str">
        <f t="shared" si="46"/>
        <v>000.000.043-00</v>
      </c>
      <c r="G245">
        <v>27</v>
      </c>
      <c r="H245">
        <f t="shared" ca="1" si="47"/>
        <v>27</v>
      </c>
      <c r="I245" s="12">
        <v>36316</v>
      </c>
      <c r="J245" t="s">
        <v>157</v>
      </c>
      <c r="K245" t="str">
        <f t="shared" si="39"/>
        <v>Vilavelha</v>
      </c>
      <c r="L245" t="s">
        <v>227</v>
      </c>
      <c r="M245" t="str" cm="1">
        <f t="array" ref="M245">PROPER(IF(L245&lt;&gt;"",L245,_xlfn.XLOOKUP(1,($K$2:$K$398=K245)*($L$2:$L$398&lt;&gt;""),$L$2:$L$398,"")))</f>
        <v>Campina</v>
      </c>
      <c r="N245" s="14">
        <v>10700</v>
      </c>
      <c r="O245">
        <f t="shared" si="48"/>
        <v>10700</v>
      </c>
      <c r="P245" t="s">
        <v>626</v>
      </c>
      <c r="Q245" s="17">
        <f t="shared" si="40"/>
        <v>60000</v>
      </c>
      <c r="R245" t="s">
        <v>49</v>
      </c>
      <c r="S245" t="str">
        <f t="shared" si="41"/>
        <v>Não</v>
      </c>
      <c r="T245">
        <v>44</v>
      </c>
      <c r="U245">
        <f t="shared" si="42"/>
        <v>44</v>
      </c>
      <c r="V245" t="s">
        <v>49</v>
      </c>
      <c r="W245">
        <v>48000</v>
      </c>
      <c r="X245">
        <f t="shared" si="43"/>
        <v>48000</v>
      </c>
      <c r="Y245" t="str">
        <f t="shared" si="44"/>
        <v>Alto</v>
      </c>
      <c r="Z245" t="str">
        <f>IF(AND(Y245="Alto",S245="Sim"),"Negada","Aprovada")</f>
        <v>Aprovada</v>
      </c>
      <c r="AA245" t="str">
        <f t="shared" si="45"/>
        <v>Aprovada</v>
      </c>
      <c r="AB245">
        <f>IF(AND(Z245="Negada",AA245="Negada"),"Já foi negado",IF(B245="Ativo",X245*8%,"Não liberado"))</f>
        <v>3840</v>
      </c>
    </row>
    <row r="246" spans="1:28">
      <c r="A246" t="s">
        <v>88</v>
      </c>
      <c r="B246" t="str">
        <f t="shared" si="37"/>
        <v>Ativo</v>
      </c>
      <c r="C246" t="str">
        <f t="shared" si="38"/>
        <v>Thoros Crakehall</v>
      </c>
      <c r="D246" s="15" t="s">
        <v>627</v>
      </c>
      <c r="E246" s="16">
        <v>19300</v>
      </c>
      <c r="F246" s="16" t="str">
        <f t="shared" si="46"/>
        <v>000.000.193-00</v>
      </c>
      <c r="G246">
        <v>74</v>
      </c>
      <c r="H246">
        <f t="shared" ca="1" si="47"/>
        <v>74</v>
      </c>
      <c r="I246" s="12">
        <v>19131</v>
      </c>
      <c r="J246" t="s">
        <v>234</v>
      </c>
      <c r="K246" t="str">
        <f t="shared" si="39"/>
        <v>Porto Real</v>
      </c>
      <c r="L246" t="s">
        <v>341</v>
      </c>
      <c r="M246" t="str" cm="1">
        <f t="array" ref="M246">PROPER(IF(L246&lt;&gt;"",L246,_xlfn.XLOOKUP(1,($K$2:$K$398=K246)*($L$2:$L$398&lt;&gt;""),$L$2:$L$398,"")))</f>
        <v>Terras Da Coroa</v>
      </c>
      <c r="N246">
        <v>20700</v>
      </c>
      <c r="O246">
        <f t="shared" si="48"/>
        <v>20700</v>
      </c>
      <c r="P246" s="13">
        <v>17500</v>
      </c>
      <c r="Q246" s="17">
        <f t="shared" si="40"/>
        <v>17500</v>
      </c>
      <c r="R246" t="s">
        <v>49</v>
      </c>
      <c r="S246" t="str">
        <f t="shared" si="41"/>
        <v>Não</v>
      </c>
      <c r="T246">
        <v>35</v>
      </c>
      <c r="U246">
        <f t="shared" si="42"/>
        <v>35</v>
      </c>
      <c r="V246" t="s">
        <v>49</v>
      </c>
      <c r="W246">
        <v>65000</v>
      </c>
      <c r="X246">
        <f t="shared" si="43"/>
        <v>65000</v>
      </c>
      <c r="Y246" t="str">
        <f t="shared" si="44"/>
        <v>Alto</v>
      </c>
      <c r="Z246" t="str">
        <f>IF(AND(Y246="Alto",S246="Sim"),"Negada","Aprovada")</f>
        <v>Aprovada</v>
      </c>
      <c r="AA246" t="str">
        <f t="shared" si="45"/>
        <v>Aprovada</v>
      </c>
      <c r="AB246">
        <f>IF(AND(Z246="Negada",AA246="Negada"),"Já foi negado",IF(B246="Ativo",X246*8%,"Não liberado"))</f>
        <v>5200</v>
      </c>
    </row>
    <row r="247" spans="1:28">
      <c r="A247" t="s">
        <v>88</v>
      </c>
      <c r="B247" t="str">
        <f t="shared" si="37"/>
        <v>Ativo</v>
      </c>
      <c r="C247" t="str">
        <f t="shared" si="38"/>
        <v>Viserys  Umber</v>
      </c>
      <c r="D247" s="15" t="s">
        <v>628</v>
      </c>
      <c r="E247" s="16" t="s">
        <v>629</v>
      </c>
      <c r="F247" s="16" t="str">
        <f t="shared" si="46"/>
        <v>000.000.155-00</v>
      </c>
      <c r="H247">
        <f t="shared" ca="1" si="47"/>
        <v>19</v>
      </c>
      <c r="I247" s="12">
        <v>39230</v>
      </c>
      <c r="J247" t="s">
        <v>182</v>
      </c>
      <c r="K247" t="str">
        <f t="shared" si="39"/>
        <v>Jardim de Cima</v>
      </c>
      <c r="L247" t="s">
        <v>158</v>
      </c>
      <c r="M247" t="str" cm="1">
        <f t="array" ref="M247">PROPER(IF(L247&lt;&gt;"",L247,_xlfn.XLOOKUP(1,($K$2:$K$398=K247)*($L$2:$L$398&lt;&gt;""),$L$2:$L$398,"")))</f>
        <v>Campina</v>
      </c>
      <c r="N247" t="s">
        <v>630</v>
      </c>
      <c r="O247">
        <f t="shared" si="48"/>
        <v>18000</v>
      </c>
      <c r="P247" s="14">
        <v>49500</v>
      </c>
      <c r="Q247" s="17">
        <f t="shared" si="40"/>
        <v>49500</v>
      </c>
      <c r="R247" t="s">
        <v>49</v>
      </c>
      <c r="S247" t="str">
        <f t="shared" si="41"/>
        <v>Não</v>
      </c>
      <c r="T247">
        <v>25</v>
      </c>
      <c r="U247">
        <f t="shared" si="42"/>
        <v>25</v>
      </c>
      <c r="V247" t="s">
        <v>49</v>
      </c>
      <c r="W247">
        <v>46500</v>
      </c>
      <c r="X247">
        <f t="shared" si="43"/>
        <v>46500</v>
      </c>
      <c r="Y247" t="str">
        <f t="shared" si="44"/>
        <v>Médio</v>
      </c>
      <c r="Z247" t="str">
        <f>IF(AND(Y247="Alto",S247="Sim"),"Negada","Aprovada")</f>
        <v>Aprovada</v>
      </c>
      <c r="AA247" t="str">
        <f t="shared" si="45"/>
        <v>Aprovada</v>
      </c>
      <c r="AB247">
        <f>IF(AND(Z247="Negada",AA247="Negada"),"Já foi negado",IF(B247="Ativo",X247*8%,"Não liberado"))</f>
        <v>3720</v>
      </c>
    </row>
    <row r="248" spans="1:28">
      <c r="A248" t="s">
        <v>93</v>
      </c>
      <c r="B248" t="str">
        <f t="shared" si="37"/>
        <v>Inativo</v>
      </c>
      <c r="C248" t="str">
        <f t="shared" si="38"/>
        <v>Grey Worm Hornwood</v>
      </c>
      <c r="D248" s="15" t="s">
        <v>582</v>
      </c>
      <c r="E248" s="16" t="s">
        <v>583</v>
      </c>
      <c r="F248" s="16" t="str">
        <f t="shared" si="46"/>
        <v>000.000.322-00</v>
      </c>
      <c r="G248">
        <v>26</v>
      </c>
      <c r="H248">
        <f t="shared" ca="1" si="47"/>
        <v>26</v>
      </c>
      <c r="I248" s="12">
        <v>36540</v>
      </c>
      <c r="J248" t="s">
        <v>100</v>
      </c>
      <c r="K248" t="str">
        <f t="shared" si="39"/>
        <v>Pedra do Dragão</v>
      </c>
      <c r="L248" t="s">
        <v>174</v>
      </c>
      <c r="M248" t="str" cm="1">
        <f t="array" ref="M248">PROPER(IF(L248&lt;&gt;"",L248,_xlfn.XLOOKUP(1,($K$2:$K$398=K248)*($L$2:$L$398&lt;&gt;""),$L$2:$L$398,"")))</f>
        <v>Terras Da Coroa</v>
      </c>
      <c r="N248">
        <v>24000</v>
      </c>
      <c r="O248">
        <f t="shared" si="48"/>
        <v>24000</v>
      </c>
      <c r="P248" t="s">
        <v>584</v>
      </c>
      <c r="Q248" s="17">
        <f t="shared" si="40"/>
        <v>52000</v>
      </c>
      <c r="R248" t="s">
        <v>49</v>
      </c>
      <c r="S248" t="str">
        <f t="shared" si="41"/>
        <v>Não</v>
      </c>
      <c r="T248">
        <v>30</v>
      </c>
      <c r="U248">
        <f t="shared" si="42"/>
        <v>30</v>
      </c>
      <c r="V248" t="s">
        <v>49</v>
      </c>
      <c r="W248">
        <v>11500</v>
      </c>
      <c r="X248">
        <f t="shared" si="43"/>
        <v>11500</v>
      </c>
      <c r="Y248" t="str">
        <f t="shared" si="44"/>
        <v>Alto</v>
      </c>
      <c r="Z248" t="str">
        <f>IF(AND(Y248="Alto",S248="Sim"),"Negada","Aprovada")</f>
        <v>Aprovada</v>
      </c>
      <c r="AA248" t="str">
        <f t="shared" si="45"/>
        <v>Aprovada</v>
      </c>
      <c r="AB248" t="str">
        <f>IF(AND(Z248="Negada",AA248="Negada"),"Já foi negado",IF(B248="Ativo",X248*8%,"Não liberado"))</f>
        <v>Não liberado</v>
      </c>
    </row>
    <row r="249" spans="1:28">
      <c r="A249" t="s">
        <v>88</v>
      </c>
      <c r="B249" t="str">
        <f t="shared" si="37"/>
        <v>Ativo</v>
      </c>
      <c r="C249" t="str">
        <f t="shared" si="38"/>
        <v>Cersei Greyjoy</v>
      </c>
      <c r="D249" s="15" t="s">
        <v>631</v>
      </c>
      <c r="E249" s="16" t="s">
        <v>632</v>
      </c>
      <c r="F249" s="16" t="str">
        <f t="shared" si="46"/>
        <v>000.000.265-00</v>
      </c>
      <c r="G249">
        <v>47</v>
      </c>
      <c r="H249">
        <f t="shared" ca="1" si="47"/>
        <v>47</v>
      </c>
      <c r="I249" s="12">
        <v>28841</v>
      </c>
      <c r="J249" t="s">
        <v>193</v>
      </c>
      <c r="K249" t="str">
        <f t="shared" si="39"/>
        <v>Dorne</v>
      </c>
      <c r="L249" t="s">
        <v>193</v>
      </c>
      <c r="M249" t="str" cm="1">
        <f t="array" ref="M249">PROPER(IF(L249&lt;&gt;"",L249,_xlfn.XLOOKUP(1,($K$2:$K$398=K249)*($L$2:$L$398&lt;&gt;""),$L$2:$L$398,"")))</f>
        <v>Dorne</v>
      </c>
      <c r="N249" t="s">
        <v>633</v>
      </c>
      <c r="O249">
        <f t="shared" si="48"/>
        <v>21300</v>
      </c>
      <c r="P249" s="14">
        <v>62000</v>
      </c>
      <c r="Q249" s="17">
        <f t="shared" si="40"/>
        <v>62000</v>
      </c>
      <c r="R249" t="s">
        <v>50</v>
      </c>
      <c r="S249" t="str">
        <f t="shared" si="41"/>
        <v>Sim</v>
      </c>
      <c r="T249">
        <v>37</v>
      </c>
      <c r="U249">
        <f t="shared" si="42"/>
        <v>37</v>
      </c>
      <c r="V249" t="s">
        <v>50</v>
      </c>
      <c r="W249">
        <v>92500</v>
      </c>
      <c r="X249">
        <f t="shared" si="43"/>
        <v>92500</v>
      </c>
      <c r="Y249" t="str">
        <f t="shared" si="44"/>
        <v>Alto</v>
      </c>
      <c r="Z249" t="str">
        <f>IF(AND(Y249="Alto",S249="Sim"),"Negada","Aprovada")</f>
        <v>Negada</v>
      </c>
      <c r="AA249" t="str">
        <f t="shared" si="45"/>
        <v>Negada</v>
      </c>
      <c r="AB249" t="str">
        <f>IF(AND(Z249="Negada",AA249="Negada"),"Já foi negado",IF(B249="Ativo",X249*8%,"Não liberado"))</f>
        <v>Já foi negado</v>
      </c>
    </row>
    <row r="250" spans="1:28">
      <c r="A250" t="s">
        <v>88</v>
      </c>
      <c r="B250" t="str">
        <f t="shared" si="37"/>
        <v>Ativo</v>
      </c>
      <c r="C250" t="str">
        <f t="shared" si="38"/>
        <v>Tormund Tyrell</v>
      </c>
      <c r="D250" s="15" t="s">
        <v>634</v>
      </c>
      <c r="E250" s="16" t="s">
        <v>635</v>
      </c>
      <c r="F250" s="16" t="str">
        <f t="shared" si="46"/>
        <v>000.000.378-00</v>
      </c>
      <c r="G250">
        <v>34</v>
      </c>
      <c r="H250">
        <f t="shared" ca="1" si="47"/>
        <v>34</v>
      </c>
      <c r="I250" s="12">
        <v>33746</v>
      </c>
      <c r="J250" t="s">
        <v>193</v>
      </c>
      <c r="K250" t="str">
        <f t="shared" si="39"/>
        <v>Dorne</v>
      </c>
      <c r="L250" t="s">
        <v>193</v>
      </c>
      <c r="M250" t="str" cm="1">
        <f t="array" ref="M250">PROPER(IF(L250&lt;&gt;"",L250,_xlfn.XLOOKUP(1,($K$2:$K$398=K250)*($L$2:$L$398&lt;&gt;""),$L$2:$L$398,"")))</f>
        <v>Dorne</v>
      </c>
      <c r="N250">
        <v>28900</v>
      </c>
      <c r="O250">
        <f t="shared" si="48"/>
        <v>28900</v>
      </c>
      <c r="P250">
        <v>37000</v>
      </c>
      <c r="Q250" s="17">
        <f t="shared" si="40"/>
        <v>37000</v>
      </c>
      <c r="R250" t="s">
        <v>49</v>
      </c>
      <c r="S250" t="str">
        <f t="shared" si="41"/>
        <v>Não</v>
      </c>
      <c r="T250">
        <v>21</v>
      </c>
      <c r="U250">
        <f t="shared" si="42"/>
        <v>21</v>
      </c>
      <c r="V250" t="s">
        <v>49</v>
      </c>
      <c r="W250">
        <v>97500</v>
      </c>
      <c r="X250">
        <f t="shared" si="43"/>
        <v>97500</v>
      </c>
      <c r="Y250" t="str">
        <f t="shared" si="44"/>
        <v>Médio</v>
      </c>
      <c r="Z250" t="str">
        <f>IF(AND(Y250="Alto",S250="Sim"),"Negada","Aprovada")</f>
        <v>Aprovada</v>
      </c>
      <c r="AA250" t="str">
        <f t="shared" si="45"/>
        <v>Aprovada</v>
      </c>
      <c r="AB250">
        <f>IF(AND(Z250="Negada",AA250="Negada"),"Já foi negado",IF(B250="Ativo",X250*8%,"Não liberado"))</f>
        <v>7800</v>
      </c>
    </row>
    <row r="251" spans="1:28">
      <c r="A251" t="s">
        <v>88</v>
      </c>
      <c r="B251" t="str">
        <f t="shared" si="37"/>
        <v>Ativo</v>
      </c>
      <c r="C251" t="str">
        <f t="shared" si="38"/>
        <v>Bronn Stark</v>
      </c>
      <c r="D251" s="15" t="s">
        <v>636</v>
      </c>
      <c r="E251" s="16" t="s">
        <v>637</v>
      </c>
      <c r="F251" s="16" t="str">
        <f t="shared" si="46"/>
        <v>000.000.313-00</v>
      </c>
      <c r="G251">
        <v>30</v>
      </c>
      <c r="H251">
        <f t="shared" ca="1" si="47"/>
        <v>30</v>
      </c>
      <c r="I251" s="12">
        <v>35180</v>
      </c>
      <c r="J251" t="s">
        <v>163</v>
      </c>
      <c r="K251" t="str">
        <f t="shared" si="39"/>
        <v>Ilha dos Ursos</v>
      </c>
      <c r="L251" t="s">
        <v>151</v>
      </c>
      <c r="M251" t="str" cm="1">
        <f t="array" ref="M251">PROPER(IF(L251&lt;&gt;"",L251,_xlfn.XLOOKUP(1,($K$2:$K$398=K251)*($L$2:$L$398&lt;&gt;""),$L$2:$L$398,"")))</f>
        <v>Norte</v>
      </c>
      <c r="N251" s="13">
        <v>13800</v>
      </c>
      <c r="O251">
        <f t="shared" si="48"/>
        <v>13800</v>
      </c>
      <c r="P251">
        <v>42000</v>
      </c>
      <c r="Q251" s="17">
        <f t="shared" si="40"/>
        <v>42000</v>
      </c>
      <c r="S251" t="str">
        <f t="shared" si="41"/>
        <v>Não</v>
      </c>
      <c r="T251">
        <v>29</v>
      </c>
      <c r="U251">
        <f t="shared" si="42"/>
        <v>29</v>
      </c>
      <c r="W251">
        <v>7000</v>
      </c>
      <c r="X251">
        <f t="shared" si="43"/>
        <v>7000</v>
      </c>
      <c r="Y251" t="str">
        <f t="shared" si="44"/>
        <v>Alto</v>
      </c>
      <c r="Z251" t="str">
        <f>IF(AND(Y251="Alto",S251="Sim"),"Negada","Aprovada")</f>
        <v>Aprovada</v>
      </c>
      <c r="AA251" t="str">
        <f t="shared" si="45"/>
        <v>Aprovada</v>
      </c>
      <c r="AB251">
        <f>IF(AND(Z251="Negada",AA251="Negada"),"Já foi negado",IF(B251="Ativo",X251*8%,"Não liberado"))</f>
        <v>560</v>
      </c>
    </row>
    <row r="252" spans="1:28">
      <c r="A252" t="s">
        <v>93</v>
      </c>
      <c r="B252" t="str">
        <f t="shared" si="37"/>
        <v>Inativo</v>
      </c>
      <c r="C252" t="str">
        <f t="shared" si="38"/>
        <v>Tyrion Blackwood</v>
      </c>
      <c r="D252" s="15" t="s">
        <v>638</v>
      </c>
      <c r="E252" s="16" t="s">
        <v>639</v>
      </c>
      <c r="F252" s="16" t="str">
        <f t="shared" si="46"/>
        <v>000.000.100-00</v>
      </c>
      <c r="G252">
        <v>67</v>
      </c>
      <c r="H252">
        <f t="shared" ca="1" si="47"/>
        <v>67</v>
      </c>
      <c r="I252" s="12">
        <v>21674</v>
      </c>
      <c r="J252" t="s">
        <v>254</v>
      </c>
      <c r="K252" t="str">
        <f t="shared" si="39"/>
        <v>Atalaia da �gua Cinzenta</v>
      </c>
      <c r="L252" t="s">
        <v>465</v>
      </c>
      <c r="M252" t="str" cm="1">
        <f t="array" ref="M252">PROPER(IF(L252&lt;&gt;"",L252,_xlfn.XLOOKUP(1,($K$2:$K$398=K252)*($L$2:$L$398&lt;&gt;""),$L$2:$L$398,"")))</f>
        <v>Gargalo</v>
      </c>
      <c r="N252">
        <v>15200</v>
      </c>
      <c r="O252">
        <f t="shared" si="48"/>
        <v>15200</v>
      </c>
      <c r="P252">
        <v>67500</v>
      </c>
      <c r="Q252" s="17">
        <f t="shared" si="40"/>
        <v>67500</v>
      </c>
      <c r="R252" t="s">
        <v>49</v>
      </c>
      <c r="S252" t="str">
        <f t="shared" si="41"/>
        <v>Não</v>
      </c>
      <c r="T252">
        <v>12</v>
      </c>
      <c r="U252">
        <f t="shared" si="42"/>
        <v>12</v>
      </c>
      <c r="V252" t="s">
        <v>49</v>
      </c>
      <c r="W252">
        <v>97500</v>
      </c>
      <c r="X252">
        <f t="shared" si="43"/>
        <v>97500</v>
      </c>
      <c r="Y252" t="str">
        <f t="shared" si="44"/>
        <v>Médio</v>
      </c>
      <c r="Z252" t="str">
        <f>IF(AND(Y252="Alto",S252="Sim"),"Negada","Aprovada")</f>
        <v>Aprovada</v>
      </c>
      <c r="AA252" t="str">
        <f t="shared" si="45"/>
        <v>Aprovada</v>
      </c>
      <c r="AB252" t="str">
        <f>IF(AND(Z252="Negada",AA252="Negada"),"Já foi negado",IF(B252="Ativo",X252*8%,"Não liberado"))</f>
        <v>Não liberado</v>
      </c>
    </row>
    <row r="253" spans="1:28">
      <c r="A253" t="s">
        <v>88</v>
      </c>
      <c r="B253" t="str">
        <f t="shared" si="37"/>
        <v>Ativo</v>
      </c>
      <c r="C253" t="str">
        <f t="shared" si="38"/>
        <v>Brienne Westerling</v>
      </c>
      <c r="D253" s="15" t="s">
        <v>640</v>
      </c>
      <c r="E253" s="16" t="s">
        <v>641</v>
      </c>
      <c r="F253" s="16" t="str">
        <f t="shared" si="46"/>
        <v>000.000.379-00</v>
      </c>
      <c r="G253">
        <v>59</v>
      </c>
      <c r="H253">
        <f t="shared" ca="1" si="47"/>
        <v>59</v>
      </c>
      <c r="I253" s="12">
        <v>24578</v>
      </c>
      <c r="J253" t="s">
        <v>254</v>
      </c>
      <c r="K253" t="str">
        <f t="shared" si="39"/>
        <v>Atalaia da �gua Cinzenta</v>
      </c>
      <c r="M253" t="str" cm="1">
        <f t="array" ref="M253">PROPER(IF(L253&lt;&gt;"",L253,_xlfn.XLOOKUP(1,($K$2:$K$398=K253)*($L$2:$L$398&lt;&gt;""),$L$2:$L$398,"")))</f>
        <v>Gargalo</v>
      </c>
      <c r="N253">
        <v>6600</v>
      </c>
      <c r="O253">
        <f t="shared" si="48"/>
        <v>6600</v>
      </c>
      <c r="P253">
        <v>50000</v>
      </c>
      <c r="Q253" s="17">
        <f t="shared" si="40"/>
        <v>50000</v>
      </c>
      <c r="R253" t="s">
        <v>50</v>
      </c>
      <c r="S253" t="str">
        <f t="shared" si="41"/>
        <v>Sim</v>
      </c>
      <c r="T253">
        <v>9</v>
      </c>
      <c r="U253">
        <f t="shared" si="42"/>
        <v>9</v>
      </c>
      <c r="V253" t="s">
        <v>50</v>
      </c>
      <c r="W253">
        <v>25000</v>
      </c>
      <c r="X253">
        <f t="shared" si="43"/>
        <v>25000</v>
      </c>
      <c r="Y253" t="str">
        <f t="shared" si="44"/>
        <v>Baixo</v>
      </c>
      <c r="Z253" t="str">
        <f>IF(AND(Y253="Alto",S253="Sim"),"Negada","Aprovada")</f>
        <v>Aprovada</v>
      </c>
      <c r="AA253" t="str">
        <f t="shared" si="45"/>
        <v>Aprovada</v>
      </c>
      <c r="AB253">
        <f>IF(AND(Z253="Negada",AA253="Negada"),"Já foi negado",IF(B253="Ativo",X253*8%,"Não liberado"))</f>
        <v>2000</v>
      </c>
    </row>
    <row r="254" spans="1:28">
      <c r="A254" t="s">
        <v>93</v>
      </c>
      <c r="B254" t="str">
        <f t="shared" si="37"/>
        <v>Inativo</v>
      </c>
      <c r="C254" t="str">
        <f t="shared" si="38"/>
        <v>Beric Manderly</v>
      </c>
      <c r="D254" s="15" t="s">
        <v>642</v>
      </c>
      <c r="E254" s="16">
        <v>24300</v>
      </c>
      <c r="F254" s="16" t="str">
        <f t="shared" si="46"/>
        <v>000.000.243-00</v>
      </c>
      <c r="G254">
        <v>25</v>
      </c>
      <c r="H254">
        <f t="shared" ca="1" si="47"/>
        <v>25</v>
      </c>
      <c r="I254" s="12">
        <v>37131</v>
      </c>
      <c r="J254" t="s">
        <v>113</v>
      </c>
      <c r="K254" t="str">
        <f t="shared" si="39"/>
        <v>Lannisporto</v>
      </c>
      <c r="L254" t="s">
        <v>117</v>
      </c>
      <c r="M254" t="str" cm="1">
        <f t="array" ref="M254">PROPER(IF(L254&lt;&gt;"",L254,_xlfn.XLOOKUP(1,($K$2:$K$398=K254)*($L$2:$L$398&lt;&gt;""),$L$2:$L$398,"")))</f>
        <v>Oeste</v>
      </c>
      <c r="N254" s="13">
        <v>24500</v>
      </c>
      <c r="O254">
        <f t="shared" si="48"/>
        <v>24500</v>
      </c>
      <c r="P254" t="s">
        <v>103</v>
      </c>
      <c r="Q254" s="17" t="str">
        <f t="shared" si="40"/>
        <v>Não informado</v>
      </c>
      <c r="R254">
        <v>0</v>
      </c>
      <c r="S254" t="str">
        <f t="shared" si="41"/>
        <v>Não</v>
      </c>
      <c r="T254">
        <v>0</v>
      </c>
      <c r="U254">
        <f t="shared" si="42"/>
        <v>0</v>
      </c>
      <c r="V254">
        <v>0</v>
      </c>
      <c r="W254">
        <v>55000</v>
      </c>
      <c r="X254">
        <f t="shared" si="43"/>
        <v>55000</v>
      </c>
      <c r="Y254" t="str">
        <f t="shared" si="44"/>
        <v>Baixo</v>
      </c>
      <c r="Z254" t="str">
        <f>IF(AND(Y254="Alto",S254="Sim"),"Negada","Aprovada")</f>
        <v>Aprovada</v>
      </c>
      <c r="AA254" t="str">
        <f t="shared" si="45"/>
        <v>Aprovada</v>
      </c>
      <c r="AB254" t="str">
        <f>IF(AND(Z254="Negada",AA254="Negada"),"Já foi negado",IF(B254="Ativo",X254*8%,"Não liberado"))</f>
        <v>Não liberado</v>
      </c>
    </row>
    <row r="255" spans="1:28">
      <c r="A255" t="s">
        <v>88</v>
      </c>
      <c r="B255" t="str">
        <f t="shared" si="37"/>
        <v>Ativo</v>
      </c>
      <c r="C255" t="str">
        <f t="shared" si="38"/>
        <v>Jojen Hornwood</v>
      </c>
      <c r="D255" s="15" t="s">
        <v>643</v>
      </c>
      <c r="E255" s="16" t="s">
        <v>644</v>
      </c>
      <c r="F255" s="16" t="str">
        <f t="shared" si="46"/>
        <v>000.000.128-00</v>
      </c>
      <c r="H255">
        <f t="shared" ca="1" si="47"/>
        <v>36</v>
      </c>
      <c r="I255" s="12">
        <v>32796</v>
      </c>
      <c r="J255" t="s">
        <v>100</v>
      </c>
      <c r="K255" t="str">
        <f t="shared" si="39"/>
        <v>Pedra do Dragão</v>
      </c>
      <c r="L255" t="s">
        <v>101</v>
      </c>
      <c r="M255" t="str" cm="1">
        <f t="array" ref="M255">PROPER(IF(L255&lt;&gt;"",L255,_xlfn.XLOOKUP(1,($K$2:$K$398=K255)*($L$2:$L$398&lt;&gt;""),$L$2:$L$398,"")))</f>
        <v>Terras Da Coroa</v>
      </c>
      <c r="N255">
        <v>28600</v>
      </c>
      <c r="O255">
        <f t="shared" si="48"/>
        <v>28600</v>
      </c>
      <c r="Q255" s="17">
        <f t="shared" si="40"/>
        <v>0</v>
      </c>
      <c r="R255" t="s">
        <v>49</v>
      </c>
      <c r="S255" t="str">
        <f t="shared" si="41"/>
        <v>Não</v>
      </c>
      <c r="T255">
        <v>19</v>
      </c>
      <c r="U255">
        <f t="shared" si="42"/>
        <v>19</v>
      </c>
      <c r="V255" t="s">
        <v>49</v>
      </c>
      <c r="W255">
        <v>90000</v>
      </c>
      <c r="X255">
        <f t="shared" si="43"/>
        <v>90000</v>
      </c>
      <c r="Y255" t="str">
        <f t="shared" si="44"/>
        <v>Médio</v>
      </c>
      <c r="Z255" t="str">
        <f>IF(AND(Y255="Alto",S255="Sim"),"Negada","Aprovada")</f>
        <v>Aprovada</v>
      </c>
      <c r="AA255" t="str">
        <f t="shared" si="45"/>
        <v>Aprovada</v>
      </c>
      <c r="AB255">
        <f>IF(AND(Z255="Negada",AA255="Negada"),"Já foi negado",IF(B255="Ativo",X255*8%,"Não liberado"))</f>
        <v>7200</v>
      </c>
    </row>
    <row r="256" spans="1:28">
      <c r="A256" t="s">
        <v>93</v>
      </c>
      <c r="B256" t="str">
        <f t="shared" si="37"/>
        <v>Inativo</v>
      </c>
      <c r="C256" t="str">
        <f t="shared" si="38"/>
        <v>Theon Baelish</v>
      </c>
      <c r="D256" s="15" t="s">
        <v>645</v>
      </c>
      <c r="E256" s="16" t="s">
        <v>646</v>
      </c>
      <c r="F256" s="16" t="str">
        <f t="shared" si="46"/>
        <v>000.000.380-00</v>
      </c>
      <c r="G256">
        <v>36</v>
      </c>
      <c r="H256">
        <f t="shared" ca="1" si="47"/>
        <v>36</v>
      </c>
      <c r="I256" s="12">
        <v>32914</v>
      </c>
      <c r="J256" t="s">
        <v>254</v>
      </c>
      <c r="K256" t="str">
        <f t="shared" si="39"/>
        <v>Atalaia da �gua Cinzenta</v>
      </c>
      <c r="L256" t="s">
        <v>465</v>
      </c>
      <c r="M256" t="str" cm="1">
        <f t="array" ref="M256">PROPER(IF(L256&lt;&gt;"",L256,_xlfn.XLOOKUP(1,($K$2:$K$398=K256)*($L$2:$L$398&lt;&gt;""),$L$2:$L$398,"")))</f>
        <v>Gargalo</v>
      </c>
      <c r="N256">
        <v>27600</v>
      </c>
      <c r="O256">
        <f t="shared" si="48"/>
        <v>27600</v>
      </c>
      <c r="P256">
        <v>37000</v>
      </c>
      <c r="Q256" s="17">
        <f t="shared" si="40"/>
        <v>37000</v>
      </c>
      <c r="R256" t="s">
        <v>49</v>
      </c>
      <c r="S256" t="str">
        <f t="shared" si="41"/>
        <v>Não</v>
      </c>
      <c r="T256">
        <v>15</v>
      </c>
      <c r="U256">
        <f t="shared" si="42"/>
        <v>15</v>
      </c>
      <c r="V256" t="s">
        <v>49</v>
      </c>
      <c r="W256">
        <v>41500</v>
      </c>
      <c r="X256">
        <f t="shared" si="43"/>
        <v>41500</v>
      </c>
      <c r="Y256" t="str">
        <f t="shared" si="44"/>
        <v>Médio</v>
      </c>
      <c r="Z256" t="str">
        <f>IF(AND(Y256="Alto",S256="Sim"),"Negada","Aprovada")</f>
        <v>Aprovada</v>
      </c>
      <c r="AA256" t="str">
        <f t="shared" si="45"/>
        <v>Aprovada</v>
      </c>
      <c r="AB256" t="str">
        <f>IF(AND(Z256="Negada",AA256="Negada"),"Já foi negado",IF(B256="Ativo",X256*8%,"Não liberado"))</f>
        <v>Não liberado</v>
      </c>
    </row>
    <row r="257" spans="1:28">
      <c r="A257" t="s">
        <v>93</v>
      </c>
      <c r="B257" t="str">
        <f t="shared" si="37"/>
        <v>Inativo</v>
      </c>
      <c r="C257" t="str">
        <f t="shared" si="38"/>
        <v>Aegon Hornwood</v>
      </c>
      <c r="D257" s="15" t="s">
        <v>647</v>
      </c>
      <c r="E257" s="16">
        <v>17100</v>
      </c>
      <c r="F257" s="16" t="str">
        <f t="shared" si="46"/>
        <v>000.000.171-00</v>
      </c>
      <c r="G257">
        <v>45</v>
      </c>
      <c r="H257">
        <f t="shared" ca="1" si="47"/>
        <v>45</v>
      </c>
      <c r="I257" s="12">
        <v>29506</v>
      </c>
      <c r="J257" t="s">
        <v>312</v>
      </c>
      <c r="K257" t="str">
        <f t="shared" si="39"/>
        <v>Solar do Entardecer</v>
      </c>
      <c r="L257" t="s">
        <v>96</v>
      </c>
      <c r="M257" t="str" cm="1">
        <f t="array" ref="M257">PROPER(IF(L257&lt;&gt;"",L257,_xlfn.XLOOKUP(1,($K$2:$K$398=K257)*($L$2:$L$398&lt;&gt;""),$L$2:$L$398,"")))</f>
        <v>Terras Da Tempestade</v>
      </c>
      <c r="N257">
        <v>5100</v>
      </c>
      <c r="O257">
        <f t="shared" si="48"/>
        <v>5100</v>
      </c>
      <c r="P257" s="13">
        <v>25000</v>
      </c>
      <c r="Q257" s="17">
        <f t="shared" si="40"/>
        <v>25000</v>
      </c>
      <c r="R257" t="s">
        <v>49</v>
      </c>
      <c r="S257" t="str">
        <f t="shared" si="41"/>
        <v>Não</v>
      </c>
      <c r="T257">
        <v>29</v>
      </c>
      <c r="U257">
        <f t="shared" si="42"/>
        <v>29</v>
      </c>
      <c r="V257" t="s">
        <v>49</v>
      </c>
      <c r="W257">
        <v>88000</v>
      </c>
      <c r="X257">
        <f t="shared" si="43"/>
        <v>88000</v>
      </c>
      <c r="Y257" t="str">
        <f t="shared" si="44"/>
        <v>Alto</v>
      </c>
      <c r="Z257" t="str">
        <f>IF(AND(Y257="Alto",S257="Sim"),"Negada","Aprovada")</f>
        <v>Aprovada</v>
      </c>
      <c r="AA257" t="str">
        <f t="shared" si="45"/>
        <v>Aprovada</v>
      </c>
      <c r="AB257" t="str">
        <f>IF(AND(Z257="Negada",AA257="Negada"),"Já foi negado",IF(B257="Ativo",X257*8%,"Não liberado"))</f>
        <v>Não liberado</v>
      </c>
    </row>
    <row r="258" spans="1:28">
      <c r="A258" t="s">
        <v>88</v>
      </c>
      <c r="B258" t="str">
        <f t="shared" si="37"/>
        <v>Ativo</v>
      </c>
      <c r="C258" t="str">
        <f t="shared" si="38"/>
        <v>Ellaria Redwyne</v>
      </c>
      <c r="D258" s="15" t="s">
        <v>648</v>
      </c>
      <c r="E258" s="16" t="s">
        <v>649</v>
      </c>
      <c r="F258" s="16" t="str">
        <f t="shared" si="46"/>
        <v>000.000.093-00</v>
      </c>
      <c r="G258">
        <v>56</v>
      </c>
      <c r="H258">
        <f t="shared" ca="1" si="47"/>
        <v>56</v>
      </c>
      <c r="I258" s="12">
        <v>25551</v>
      </c>
      <c r="J258" t="s">
        <v>193</v>
      </c>
      <c r="K258" t="str">
        <f t="shared" si="39"/>
        <v>Dorne</v>
      </c>
      <c r="L258" t="s">
        <v>193</v>
      </c>
      <c r="M258" t="str" cm="1">
        <f t="array" ref="M258">PROPER(IF(L258&lt;&gt;"",L258,_xlfn.XLOOKUP(1,($K$2:$K$398=K258)*($L$2:$L$398&lt;&gt;""),$L$2:$L$398,"")))</f>
        <v>Dorne</v>
      </c>
      <c r="N258" s="14">
        <v>22600</v>
      </c>
      <c r="O258">
        <f t="shared" si="48"/>
        <v>22600</v>
      </c>
      <c r="P258">
        <v>63000</v>
      </c>
      <c r="Q258" s="17">
        <f t="shared" si="40"/>
        <v>63000</v>
      </c>
      <c r="R258" t="s">
        <v>49</v>
      </c>
      <c r="S258" t="str">
        <f t="shared" si="41"/>
        <v>Não</v>
      </c>
      <c r="T258">
        <v>33</v>
      </c>
      <c r="U258">
        <f t="shared" si="42"/>
        <v>33</v>
      </c>
      <c r="V258" t="s">
        <v>49</v>
      </c>
      <c r="W258">
        <v>53000</v>
      </c>
      <c r="X258">
        <f t="shared" si="43"/>
        <v>53000</v>
      </c>
      <c r="Y258" t="str">
        <f t="shared" si="44"/>
        <v>Alto</v>
      </c>
      <c r="Z258" t="str">
        <f>IF(AND(Y258="Alto",S258="Sim"),"Negada","Aprovada")</f>
        <v>Aprovada</v>
      </c>
      <c r="AA258" t="str">
        <f t="shared" si="45"/>
        <v>Aprovada</v>
      </c>
      <c r="AB258">
        <f>IF(AND(Z258="Negada",AA258="Negada"),"Já foi negado",IF(B258="Ativo",X258*8%,"Não liberado"))</f>
        <v>4240</v>
      </c>
    </row>
    <row r="259" spans="1:28">
      <c r="A259" t="s">
        <v>88</v>
      </c>
      <c r="B259" t="str">
        <f t="shared" ref="B259:B322" si="49">IF(A259="","Não informado",IF(OR(A259="Ativoo",A259="ATIVO",A259="ativo"),"Ativo",IF(OR(A259="Loqueado",A259="Bloqueado"),"Bloqueado",PROPER(A259))))</f>
        <v>Ativo</v>
      </c>
      <c r="C259" t="str">
        <f t="shared" ref="C259:C322" si="50">PROPER(D259)</f>
        <v>Missandei Redwyne</v>
      </c>
      <c r="D259" s="15" t="s">
        <v>650</v>
      </c>
      <c r="E259" s="16" t="s">
        <v>651</v>
      </c>
      <c r="F259" s="16" t="str">
        <f t="shared" si="46"/>
        <v>000.000.111-00</v>
      </c>
      <c r="G259">
        <v>47</v>
      </c>
      <c r="H259">
        <f t="shared" ca="1" si="47"/>
        <v>47</v>
      </c>
      <c r="I259" s="12">
        <v>29007</v>
      </c>
      <c r="J259" t="s">
        <v>130</v>
      </c>
      <c r="K259" t="str">
        <f t="shared" ref="K259:K322" si="51">IFERROR(TRIM(_xlfn.TEXTBEFORE(J259,"|")),J259)</f>
        <v>Meereen</v>
      </c>
      <c r="L259" t="s">
        <v>131</v>
      </c>
      <c r="M259" t="str" cm="1">
        <f t="array" ref="M259">PROPER(IF(L259&lt;&gt;"",L259,_xlfn.XLOOKUP(1,($K$2:$K$398=K259)*($L$2:$L$398&lt;&gt;""),$L$2:$L$398,"")))</f>
        <v>Essos</v>
      </c>
      <c r="N259">
        <v>5000</v>
      </c>
      <c r="O259">
        <f t="shared" si="48"/>
        <v>5000</v>
      </c>
      <c r="P259" s="14">
        <v>75500</v>
      </c>
      <c r="Q259" s="17">
        <f t="shared" ref="Q259:Q322" si="52">IF(P259="N/A","Não informado",IFERROR(VALUE(SUBSTITUTE(SUBSTITUTE(P259,"R$ ","")," moedas","")),P259))</f>
        <v>75500</v>
      </c>
      <c r="R259" t="s">
        <v>50</v>
      </c>
      <c r="S259" t="str">
        <f t="shared" ref="S259:S322" si="53">IF(OR(R259="Sim",R259="SIM",R259="sim",R259=1,R259="1"),"Sim",IF(OR(R259="Não",R259="Nao",R259="NÃO",R259="nao",R259=0,R259="0"),"Não","Não informado"))</f>
        <v>Sim</v>
      </c>
      <c r="T259">
        <v>2</v>
      </c>
      <c r="U259">
        <f t="shared" ref="U259:U322" si="54">IFERROR(VALUE(SUBSTITUTE(T259," batalhas","")),T259)</f>
        <v>2</v>
      </c>
      <c r="V259" t="s">
        <v>50</v>
      </c>
      <c r="W259">
        <v>89500</v>
      </c>
      <c r="X259">
        <f t="shared" ref="X259:X322" si="55">IFERROR(VALUE(SUBSTITUTE(SUBSTITUTE(W259,"R$ ","")," moedas","")),W259)</f>
        <v>89500</v>
      </c>
      <c r="Y259" t="str">
        <f t="shared" ref="Y259:Y322" si="56">IF(U259&lt;=10,"Baixo",IF(U259&lt;=25,"Médio","Alto"))</f>
        <v>Baixo</v>
      </c>
      <c r="Z259" t="str">
        <f>IF(AND(Y259="Alto",S259="Sim"),"Negada","Aprovada")</f>
        <v>Aprovada</v>
      </c>
      <c r="AA259" t="str">
        <f t="shared" ref="AA259:AA322" si="57">IF(AND(Q259&gt;50000,S259="Sim"),"Negada","Aprovada")</f>
        <v>Negada</v>
      </c>
      <c r="AB259">
        <f>IF(AND(Z259="Negada",AA259="Negada"),"Já foi negado",IF(B259="Ativo",X259*8%,"Não liberado"))</f>
        <v>7160</v>
      </c>
    </row>
    <row r="260" spans="1:28">
      <c r="A260" t="s">
        <v>88</v>
      </c>
      <c r="B260" t="str">
        <f t="shared" si="49"/>
        <v>Ativo</v>
      </c>
      <c r="C260" t="str">
        <f t="shared" si="50"/>
        <v>Jorah Hightower</v>
      </c>
      <c r="D260" s="15" t="s">
        <v>172</v>
      </c>
      <c r="E260" s="16" t="s">
        <v>652</v>
      </c>
      <c r="F260" s="16" t="str">
        <f t="shared" ref="F260:F323" si="58">TEXT(E260,"000\.000\.000\-00")</f>
        <v>000.000.007-00</v>
      </c>
      <c r="G260">
        <v>44</v>
      </c>
      <c r="H260">
        <f t="shared" ca="1" si="47"/>
        <v>44</v>
      </c>
      <c r="I260" s="12">
        <v>30069</v>
      </c>
      <c r="J260" t="s">
        <v>147</v>
      </c>
      <c r="K260" t="str">
        <f t="shared" si="51"/>
        <v>Correrrio</v>
      </c>
      <c r="L260" t="s">
        <v>148</v>
      </c>
      <c r="M260" t="str" cm="1">
        <f t="array" ref="M260">PROPER(IF(L260&lt;&gt;"",L260,_xlfn.XLOOKUP(1,($K$2:$K$398=K260)*($L$2:$L$398&lt;&gt;""),$L$2:$L$398,"")))</f>
        <v>Terras Fluviais</v>
      </c>
      <c r="N260">
        <v>21700</v>
      </c>
      <c r="O260">
        <f t="shared" si="48"/>
        <v>21700</v>
      </c>
      <c r="P260">
        <v>34500</v>
      </c>
      <c r="Q260" s="17">
        <f t="shared" si="52"/>
        <v>34500</v>
      </c>
      <c r="R260" t="s">
        <v>49</v>
      </c>
      <c r="S260" t="str">
        <f t="shared" si="53"/>
        <v>Não</v>
      </c>
      <c r="T260">
        <v>29</v>
      </c>
      <c r="U260">
        <f t="shared" si="54"/>
        <v>29</v>
      </c>
      <c r="V260" t="s">
        <v>49</v>
      </c>
      <c r="W260">
        <v>10500</v>
      </c>
      <c r="X260">
        <f t="shared" si="55"/>
        <v>10500</v>
      </c>
      <c r="Y260" t="str">
        <f t="shared" si="56"/>
        <v>Alto</v>
      </c>
      <c r="Z260" t="str">
        <f>IF(AND(Y260="Alto",S260="Sim"),"Negada","Aprovada")</f>
        <v>Aprovada</v>
      </c>
      <c r="AA260" t="str">
        <f t="shared" si="57"/>
        <v>Aprovada</v>
      </c>
      <c r="AB260">
        <f>IF(AND(Z260="Negada",AA260="Negada"),"Já foi negado",IF(B260="Ativo",X260*8%,"Não liberado"))</f>
        <v>840</v>
      </c>
    </row>
    <row r="261" spans="1:28">
      <c r="A261" t="s">
        <v>88</v>
      </c>
      <c r="B261" t="str">
        <f t="shared" si="49"/>
        <v>Ativo</v>
      </c>
      <c r="C261" t="str">
        <f t="shared" si="50"/>
        <v>Eddard Payne</v>
      </c>
      <c r="D261" s="15" t="s">
        <v>653</v>
      </c>
      <c r="E261" s="16">
        <v>15900</v>
      </c>
      <c r="F261" s="16" t="str">
        <f t="shared" si="58"/>
        <v>000.000.159-00</v>
      </c>
      <c r="G261">
        <v>26</v>
      </c>
      <c r="H261">
        <f t="shared" ref="H261:H324" ca="1" si="59">IF(OR(I261="",I261="N/A"),"N/A",DATEDIF(I261,TODAY(),"Y"))</f>
        <v>27</v>
      </c>
      <c r="I261" s="12">
        <v>36411</v>
      </c>
      <c r="J261" t="s">
        <v>147</v>
      </c>
      <c r="K261" t="str">
        <f t="shared" si="51"/>
        <v>Correrrio</v>
      </c>
      <c r="L261" t="s">
        <v>148</v>
      </c>
      <c r="M261" t="str" cm="1">
        <f t="array" ref="M261">PROPER(IF(L261&lt;&gt;"",L261,_xlfn.XLOOKUP(1,($K$2:$K$398=K261)*($L$2:$L$398&lt;&gt;""),$L$2:$L$398,"")))</f>
        <v>Terras Fluviais</v>
      </c>
      <c r="N261" t="s">
        <v>654</v>
      </c>
      <c r="O261">
        <f t="shared" si="48"/>
        <v>9200</v>
      </c>
      <c r="P261" s="13">
        <v>68500</v>
      </c>
      <c r="Q261" s="17">
        <f t="shared" si="52"/>
        <v>68500</v>
      </c>
      <c r="R261" t="s">
        <v>49</v>
      </c>
      <c r="S261" t="str">
        <f t="shared" si="53"/>
        <v>Não</v>
      </c>
      <c r="T261">
        <v>27</v>
      </c>
      <c r="U261">
        <f t="shared" si="54"/>
        <v>27</v>
      </c>
      <c r="V261" t="s">
        <v>49</v>
      </c>
      <c r="W261">
        <v>7000</v>
      </c>
      <c r="X261">
        <f t="shared" si="55"/>
        <v>7000</v>
      </c>
      <c r="Y261" t="str">
        <f t="shared" si="56"/>
        <v>Alto</v>
      </c>
      <c r="Z261" t="str">
        <f>IF(AND(Y261="Alto",S261="Sim"),"Negada","Aprovada")</f>
        <v>Aprovada</v>
      </c>
      <c r="AA261" t="str">
        <f t="shared" si="57"/>
        <v>Aprovada</v>
      </c>
      <c r="AB261">
        <f>IF(AND(Z261="Negada",AA261="Negada"),"Já foi negado",IF(B261="Ativo",X261*8%,"Não liberado"))</f>
        <v>560</v>
      </c>
    </row>
    <row r="262" spans="1:28">
      <c r="A262" t="s">
        <v>93</v>
      </c>
      <c r="B262" t="str">
        <f t="shared" si="49"/>
        <v>Inativo</v>
      </c>
      <c r="C262" t="str">
        <f t="shared" si="50"/>
        <v>Cersei Glover</v>
      </c>
      <c r="D262" s="15" t="s">
        <v>655</v>
      </c>
      <c r="E262" s="16" t="s">
        <v>656</v>
      </c>
      <c r="F262" s="16" t="str">
        <f t="shared" si="58"/>
        <v>000.000.324-00</v>
      </c>
      <c r="G262">
        <v>49</v>
      </c>
      <c r="H262">
        <f t="shared" ca="1" si="59"/>
        <v>49</v>
      </c>
      <c r="I262" s="12">
        <v>28286</v>
      </c>
      <c r="J262" t="s">
        <v>121</v>
      </c>
      <c r="K262" t="str">
        <f t="shared" si="51"/>
        <v>Pyke</v>
      </c>
      <c r="L262" t="s">
        <v>122</v>
      </c>
      <c r="M262" t="str" cm="1">
        <f t="array" ref="M262">PROPER(IF(L262&lt;&gt;"",L262,_xlfn.XLOOKUP(1,($K$2:$K$398=K262)*($L$2:$L$398&lt;&gt;""),$L$2:$L$398,"")))</f>
        <v>Ilhas De Ferro</v>
      </c>
      <c r="N262">
        <v>21900</v>
      </c>
      <c r="O262">
        <f t="shared" si="48"/>
        <v>21900</v>
      </c>
      <c r="P262">
        <v>69000</v>
      </c>
      <c r="Q262" s="17">
        <f t="shared" si="52"/>
        <v>69000</v>
      </c>
      <c r="R262" t="s">
        <v>49</v>
      </c>
      <c r="S262" t="str">
        <f t="shared" si="53"/>
        <v>Não</v>
      </c>
      <c r="T262" t="s">
        <v>657</v>
      </c>
      <c r="U262">
        <f t="shared" si="54"/>
        <v>4</v>
      </c>
      <c r="V262" t="s">
        <v>49</v>
      </c>
      <c r="W262">
        <v>80500</v>
      </c>
      <c r="X262">
        <f t="shared" si="55"/>
        <v>80500</v>
      </c>
      <c r="Y262" t="str">
        <f t="shared" si="56"/>
        <v>Baixo</v>
      </c>
      <c r="Z262" t="str">
        <f>IF(AND(Y262="Alto",S262="Sim"),"Negada","Aprovada")</f>
        <v>Aprovada</v>
      </c>
      <c r="AA262" t="str">
        <f t="shared" si="57"/>
        <v>Aprovada</v>
      </c>
      <c r="AB262" t="str">
        <f>IF(AND(Z262="Negada",AA262="Negada"),"Já foi negado",IF(B262="Ativo",X262*8%,"Não liberado"))</f>
        <v>Não liberado</v>
      </c>
    </row>
    <row r="263" spans="1:28">
      <c r="A263" t="s">
        <v>88</v>
      </c>
      <c r="B263" t="str">
        <f t="shared" si="49"/>
        <v>Ativo</v>
      </c>
      <c r="C263" t="str">
        <f t="shared" si="50"/>
        <v>Theon Karstark</v>
      </c>
      <c r="D263" s="15" t="s">
        <v>658</v>
      </c>
      <c r="E263" s="16" t="s">
        <v>659</v>
      </c>
      <c r="F263" s="16" t="str">
        <f t="shared" si="58"/>
        <v>000.000.296-00</v>
      </c>
      <c r="G263">
        <v>71</v>
      </c>
      <c r="H263">
        <f t="shared" ca="1" si="59"/>
        <v>71</v>
      </c>
      <c r="I263" s="12">
        <v>20187</v>
      </c>
      <c r="J263" t="s">
        <v>136</v>
      </c>
      <c r="K263" t="str">
        <f t="shared" si="51"/>
        <v>Braavos</v>
      </c>
      <c r="L263" t="s">
        <v>131</v>
      </c>
      <c r="M263" t="str" cm="1">
        <f t="array" ref="M263">PROPER(IF(L263&lt;&gt;"",L263,_xlfn.XLOOKUP(1,($K$2:$K$398=K263)*($L$2:$L$398&lt;&gt;""),$L$2:$L$398,"")))</f>
        <v>Essos</v>
      </c>
      <c r="N263">
        <v>29200</v>
      </c>
      <c r="O263">
        <f t="shared" si="48"/>
        <v>29200</v>
      </c>
      <c r="P263">
        <v>73500</v>
      </c>
      <c r="Q263" s="17">
        <f t="shared" si="52"/>
        <v>73500</v>
      </c>
      <c r="R263" t="s">
        <v>49</v>
      </c>
      <c r="S263" t="str">
        <f t="shared" si="53"/>
        <v>Não</v>
      </c>
      <c r="T263">
        <v>2</v>
      </c>
      <c r="U263">
        <f t="shared" si="54"/>
        <v>2</v>
      </c>
      <c r="V263" t="s">
        <v>49</v>
      </c>
      <c r="W263">
        <v>33000</v>
      </c>
      <c r="X263">
        <f t="shared" si="55"/>
        <v>33000</v>
      </c>
      <c r="Y263" t="str">
        <f t="shared" si="56"/>
        <v>Baixo</v>
      </c>
      <c r="Z263" t="str">
        <f>IF(AND(Y263="Alto",S263="Sim"),"Negada","Aprovada")</f>
        <v>Aprovada</v>
      </c>
      <c r="AA263" t="str">
        <f t="shared" si="57"/>
        <v>Aprovada</v>
      </c>
      <c r="AB263">
        <f>IF(AND(Z263="Negada",AA263="Negada"),"Já foi negado",IF(B263="Ativo",X263*8%,"Não liberado"))</f>
        <v>2640</v>
      </c>
    </row>
    <row r="264" spans="1:28">
      <c r="A264" t="s">
        <v>88</v>
      </c>
      <c r="B264" t="str">
        <f t="shared" si="49"/>
        <v>Ativo</v>
      </c>
      <c r="C264" t="str">
        <f t="shared" si="50"/>
        <v>Jon Cerwyn</v>
      </c>
      <c r="D264" s="15" t="s">
        <v>660</v>
      </c>
      <c r="E264" s="16" t="s">
        <v>661</v>
      </c>
      <c r="F264" s="16" t="str">
        <f t="shared" si="58"/>
        <v>000.000.112-00</v>
      </c>
      <c r="G264">
        <v>65</v>
      </c>
      <c r="H264">
        <f t="shared" ca="1" si="59"/>
        <v>65</v>
      </c>
      <c r="I264" s="12">
        <v>22314</v>
      </c>
      <c r="J264" t="s">
        <v>95</v>
      </c>
      <c r="K264" t="str">
        <f t="shared" si="51"/>
        <v>Ponta Tempestade</v>
      </c>
      <c r="L264" t="s">
        <v>313</v>
      </c>
      <c r="M264" t="str" cm="1">
        <f t="array" ref="M264">PROPER(IF(L264&lt;&gt;"",L264,_xlfn.XLOOKUP(1,($K$2:$K$398=K264)*($L$2:$L$398&lt;&gt;""),$L$2:$L$398,"")))</f>
        <v>Terras Da Tempestade</v>
      </c>
      <c r="N264">
        <v>6100</v>
      </c>
      <c r="O264">
        <f t="shared" si="48"/>
        <v>6100</v>
      </c>
      <c r="P264">
        <v>40000</v>
      </c>
      <c r="Q264" s="17">
        <f t="shared" si="52"/>
        <v>40000</v>
      </c>
      <c r="R264" t="s">
        <v>49</v>
      </c>
      <c r="S264" t="str">
        <f t="shared" si="53"/>
        <v>Não</v>
      </c>
      <c r="T264" t="s">
        <v>662</v>
      </c>
      <c r="U264">
        <f t="shared" si="54"/>
        <v>13</v>
      </c>
      <c r="V264" t="s">
        <v>49</v>
      </c>
      <c r="W264">
        <v>22500</v>
      </c>
      <c r="X264">
        <f t="shared" si="55"/>
        <v>22500</v>
      </c>
      <c r="Y264" t="str">
        <f t="shared" si="56"/>
        <v>Médio</v>
      </c>
      <c r="Z264" t="str">
        <f>IF(AND(Y264="Alto",S264="Sim"),"Negada","Aprovada")</f>
        <v>Aprovada</v>
      </c>
      <c r="AA264" t="str">
        <f t="shared" si="57"/>
        <v>Aprovada</v>
      </c>
      <c r="AB264">
        <f>IF(AND(Z264="Negada",AA264="Negada"),"Já foi negado",IF(B264="Ativo",X264*8%,"Não liberado"))</f>
        <v>1800</v>
      </c>
    </row>
    <row r="265" spans="1:28">
      <c r="A265" t="s">
        <v>88</v>
      </c>
      <c r="B265" t="str">
        <f t="shared" si="49"/>
        <v>Ativo</v>
      </c>
      <c r="C265" t="str">
        <f t="shared" si="50"/>
        <v>Jon Bolton</v>
      </c>
      <c r="D265" s="15" t="s">
        <v>663</v>
      </c>
      <c r="E265" s="16" t="s">
        <v>664</v>
      </c>
      <c r="F265" s="16" t="str">
        <f t="shared" si="58"/>
        <v>000.000.130-00</v>
      </c>
      <c r="G265">
        <v>65</v>
      </c>
      <c r="H265">
        <f t="shared" ca="1" si="59"/>
        <v>65</v>
      </c>
      <c r="I265" s="12">
        <v>22297</v>
      </c>
      <c r="J265" t="s">
        <v>113</v>
      </c>
      <c r="K265" t="str">
        <f t="shared" si="51"/>
        <v>Lannisporto</v>
      </c>
      <c r="L265" t="s">
        <v>117</v>
      </c>
      <c r="M265" t="str" cm="1">
        <f t="array" ref="M265">PROPER(IF(L265&lt;&gt;"",L265,_xlfn.XLOOKUP(1,($K$2:$K$398=K265)*($L$2:$L$398&lt;&gt;""),$L$2:$L$398,"")))</f>
        <v>Oeste</v>
      </c>
      <c r="N265" s="14">
        <v>27300</v>
      </c>
      <c r="O265">
        <f t="shared" si="48"/>
        <v>27300</v>
      </c>
      <c r="P265">
        <v>48500</v>
      </c>
      <c r="Q265" s="17">
        <f t="shared" si="52"/>
        <v>48500</v>
      </c>
      <c r="R265" t="s">
        <v>49</v>
      </c>
      <c r="S265" t="str">
        <f t="shared" si="53"/>
        <v>Não</v>
      </c>
      <c r="T265">
        <v>29</v>
      </c>
      <c r="U265">
        <f t="shared" si="54"/>
        <v>29</v>
      </c>
      <c r="V265" t="s">
        <v>49</v>
      </c>
      <c r="W265">
        <v>94000</v>
      </c>
      <c r="X265">
        <f t="shared" si="55"/>
        <v>94000</v>
      </c>
      <c r="Y265" t="str">
        <f t="shared" si="56"/>
        <v>Alto</v>
      </c>
      <c r="Z265" t="str">
        <f>IF(AND(Y265="Alto",S265="Sim"),"Negada","Aprovada")</f>
        <v>Aprovada</v>
      </c>
      <c r="AA265" t="str">
        <f t="shared" si="57"/>
        <v>Aprovada</v>
      </c>
      <c r="AB265">
        <f>IF(AND(Z265="Negada",AA265="Negada"),"Já foi negado",IF(B265="Ativo",X265*8%,"Não liberado"))</f>
        <v>7520</v>
      </c>
    </row>
    <row r="266" spans="1:28">
      <c r="A266" t="s">
        <v>88</v>
      </c>
      <c r="B266" t="str">
        <f t="shared" si="49"/>
        <v>Ativo</v>
      </c>
      <c r="C266" t="str">
        <f t="shared" si="50"/>
        <v>Robert Stark</v>
      </c>
      <c r="D266" s="15" t="s">
        <v>665</v>
      </c>
      <c r="E266" s="16" t="s">
        <v>666</v>
      </c>
      <c r="F266" s="16" t="str">
        <f t="shared" si="58"/>
        <v>000.000.315-00</v>
      </c>
      <c r="G266">
        <v>57</v>
      </c>
      <c r="H266">
        <f t="shared" ca="1" si="59"/>
        <v>57</v>
      </c>
      <c r="I266" s="12">
        <v>25350</v>
      </c>
      <c r="J266" t="s">
        <v>178</v>
      </c>
      <c r="K266" t="str">
        <f t="shared" si="51"/>
        <v>Harrenhal</v>
      </c>
      <c r="L266" t="s">
        <v>148</v>
      </c>
      <c r="M266" t="str" cm="1">
        <f t="array" ref="M266">PROPER(IF(L266&lt;&gt;"",L266,_xlfn.XLOOKUP(1,($K$2:$K$398=K266)*($L$2:$L$398&lt;&gt;""),$L$2:$L$398,"")))</f>
        <v>Terras Fluviais</v>
      </c>
      <c r="N266">
        <v>20600</v>
      </c>
      <c r="O266">
        <f t="shared" si="48"/>
        <v>20600</v>
      </c>
      <c r="P266">
        <v>52500</v>
      </c>
      <c r="Q266" s="17">
        <f t="shared" si="52"/>
        <v>52500</v>
      </c>
      <c r="S266" t="str">
        <f t="shared" si="53"/>
        <v>Não</v>
      </c>
      <c r="T266">
        <v>16</v>
      </c>
      <c r="U266">
        <f t="shared" si="54"/>
        <v>16</v>
      </c>
      <c r="W266">
        <v>97000</v>
      </c>
      <c r="X266">
        <f t="shared" si="55"/>
        <v>97000</v>
      </c>
      <c r="Y266" t="str">
        <f t="shared" si="56"/>
        <v>Médio</v>
      </c>
      <c r="Z266" t="str">
        <f>IF(AND(Y266="Alto",S266="Sim"),"Negada","Aprovada")</f>
        <v>Aprovada</v>
      </c>
      <c r="AA266" t="str">
        <f t="shared" si="57"/>
        <v>Aprovada</v>
      </c>
      <c r="AB266">
        <f>IF(AND(Z266="Negada",AA266="Negada"),"Já foi negado",IF(B266="Ativo",X266*8%,"Não liberado"))</f>
        <v>7760</v>
      </c>
    </row>
    <row r="267" spans="1:28">
      <c r="A267" t="s">
        <v>88</v>
      </c>
      <c r="B267" t="str">
        <f t="shared" si="49"/>
        <v>Ativo</v>
      </c>
      <c r="C267" t="str">
        <f t="shared" si="50"/>
        <v>Tyrion Lannister</v>
      </c>
      <c r="D267" s="15" t="s">
        <v>667</v>
      </c>
      <c r="E267" s="16">
        <v>2800</v>
      </c>
      <c r="F267" s="16" t="str">
        <f t="shared" si="58"/>
        <v>000.000.028-00</v>
      </c>
      <c r="G267">
        <v>24</v>
      </c>
      <c r="H267">
        <f t="shared" ca="1" si="59"/>
        <v>24</v>
      </c>
      <c r="I267" s="12">
        <v>37470</v>
      </c>
      <c r="J267" t="s">
        <v>312</v>
      </c>
      <c r="K267" t="str">
        <f t="shared" si="51"/>
        <v>Solar do Entardecer</v>
      </c>
      <c r="L267" t="s">
        <v>197</v>
      </c>
      <c r="M267" t="str" cm="1">
        <f t="array" ref="M267">PROPER(IF(L267&lt;&gt;"",L267,_xlfn.XLOOKUP(1,($K$2:$K$398=K267)*($L$2:$L$398&lt;&gt;""),$L$2:$L$398,"")))</f>
        <v>Terras Da Tempestade</v>
      </c>
      <c r="N267">
        <v>16900</v>
      </c>
      <c r="O267">
        <f t="shared" si="48"/>
        <v>16900</v>
      </c>
      <c r="P267">
        <v>42500</v>
      </c>
      <c r="Q267" s="17">
        <f t="shared" si="52"/>
        <v>42500</v>
      </c>
      <c r="R267" t="s">
        <v>50</v>
      </c>
      <c r="S267" t="str">
        <f t="shared" si="53"/>
        <v>Sim</v>
      </c>
      <c r="T267" t="s">
        <v>668</v>
      </c>
      <c r="U267">
        <f t="shared" si="54"/>
        <v>26</v>
      </c>
      <c r="V267" t="s">
        <v>50</v>
      </c>
      <c r="W267">
        <v>12500</v>
      </c>
      <c r="X267">
        <f t="shared" si="55"/>
        <v>12500</v>
      </c>
      <c r="Y267" t="str">
        <f t="shared" si="56"/>
        <v>Alto</v>
      </c>
      <c r="Z267" t="str">
        <f>IF(AND(Y267="Alto",S267="Sim"),"Negada","Aprovada")</f>
        <v>Negada</v>
      </c>
      <c r="AA267" t="str">
        <f t="shared" si="57"/>
        <v>Aprovada</v>
      </c>
      <c r="AB267">
        <f>IF(AND(Z267="Negada",AA267="Negada"),"Já foi negado",IF(B267="Ativo",X267*8%,"Não liberado"))</f>
        <v>1000</v>
      </c>
    </row>
    <row r="268" spans="1:28">
      <c r="A268" t="s">
        <v>93</v>
      </c>
      <c r="B268" t="str">
        <f t="shared" si="49"/>
        <v>Inativo</v>
      </c>
      <c r="C268" t="str">
        <f t="shared" si="50"/>
        <v>Eddard Greyjoy</v>
      </c>
      <c r="D268" s="15" t="s">
        <v>669</v>
      </c>
      <c r="E268" s="16" t="s">
        <v>670</v>
      </c>
      <c r="F268" s="16" t="str">
        <f t="shared" si="58"/>
        <v>000.000.238-00</v>
      </c>
      <c r="G268">
        <v>55</v>
      </c>
      <c r="H268">
        <f t="shared" ca="1" si="59"/>
        <v>55</v>
      </c>
      <c r="I268" s="12">
        <v>25848</v>
      </c>
      <c r="J268" t="s">
        <v>130</v>
      </c>
      <c r="K268" t="str">
        <f t="shared" si="51"/>
        <v>Meereen</v>
      </c>
      <c r="L268" t="s">
        <v>131</v>
      </c>
      <c r="M268" t="str" cm="1">
        <f t="array" ref="M268">PROPER(IF(L268&lt;&gt;"",L268,_xlfn.XLOOKUP(1,($K$2:$K$398=K268)*($L$2:$L$398&lt;&gt;""),$L$2:$L$398,"")))</f>
        <v>Essos</v>
      </c>
      <c r="O268" t="str">
        <f t="shared" si="48"/>
        <v>Não informado</v>
      </c>
      <c r="P268">
        <v>5000</v>
      </c>
      <c r="Q268" s="17">
        <f t="shared" si="52"/>
        <v>5000</v>
      </c>
      <c r="R268" t="s">
        <v>49</v>
      </c>
      <c r="S268" t="str">
        <f t="shared" si="53"/>
        <v>Não</v>
      </c>
      <c r="T268">
        <v>8</v>
      </c>
      <c r="U268">
        <f t="shared" si="54"/>
        <v>8</v>
      </c>
      <c r="V268" t="s">
        <v>49</v>
      </c>
      <c r="W268">
        <v>11000</v>
      </c>
      <c r="X268">
        <f t="shared" si="55"/>
        <v>11000</v>
      </c>
      <c r="Y268" t="str">
        <f t="shared" si="56"/>
        <v>Baixo</v>
      </c>
      <c r="Z268" t="str">
        <f>IF(AND(Y268="Alto",S268="Sim"),"Negada","Aprovada")</f>
        <v>Aprovada</v>
      </c>
      <c r="AA268" t="str">
        <f t="shared" si="57"/>
        <v>Aprovada</v>
      </c>
      <c r="AB268" t="str">
        <f>IF(AND(Z268="Negada",AA268="Negada"),"Já foi negado",IF(B268="Ativo",X268*8%,"Não liberado"))</f>
        <v>Não liberado</v>
      </c>
    </row>
    <row r="269" spans="1:28">
      <c r="A269" t="s">
        <v>88</v>
      </c>
      <c r="B269" t="str">
        <f t="shared" si="49"/>
        <v>Ativo</v>
      </c>
      <c r="C269" t="str">
        <f t="shared" si="50"/>
        <v>Thoros Greyjoy</v>
      </c>
      <c r="D269" s="15" t="s">
        <v>624</v>
      </c>
      <c r="E269" s="16" t="s">
        <v>671</v>
      </c>
      <c r="F269" s="16" t="str">
        <f t="shared" si="58"/>
        <v>000.000.374-00</v>
      </c>
      <c r="G269">
        <v>67</v>
      </c>
      <c r="H269">
        <f t="shared" ca="1" si="59"/>
        <v>67</v>
      </c>
      <c r="I269" s="12">
        <v>21573</v>
      </c>
      <c r="J269" t="s">
        <v>254</v>
      </c>
      <c r="K269" t="str">
        <f t="shared" si="51"/>
        <v>Atalaia da �gua Cinzenta</v>
      </c>
      <c r="L269" t="s">
        <v>255</v>
      </c>
      <c r="M269" t="str" cm="1">
        <f t="array" ref="M269">PROPER(IF(L269&lt;&gt;"",L269,_xlfn.XLOOKUP(1,($K$2:$K$398=K269)*($L$2:$L$398&lt;&gt;""),$L$2:$L$398,"")))</f>
        <v>Gargalo</v>
      </c>
      <c r="N269">
        <v>6400</v>
      </c>
      <c r="O269">
        <f t="shared" si="48"/>
        <v>6400</v>
      </c>
      <c r="P269">
        <v>1000</v>
      </c>
      <c r="Q269" s="17">
        <f t="shared" si="52"/>
        <v>1000</v>
      </c>
      <c r="R269" t="s">
        <v>49</v>
      </c>
      <c r="S269" t="str">
        <f t="shared" si="53"/>
        <v>Não</v>
      </c>
      <c r="T269">
        <v>27</v>
      </c>
      <c r="U269">
        <f t="shared" si="54"/>
        <v>27</v>
      </c>
      <c r="V269" t="s">
        <v>49</v>
      </c>
      <c r="W269">
        <v>50000</v>
      </c>
      <c r="X269">
        <f t="shared" si="55"/>
        <v>50000</v>
      </c>
      <c r="Y269" t="str">
        <f t="shared" si="56"/>
        <v>Alto</v>
      </c>
      <c r="Z269" t="str">
        <f>IF(AND(Y269="Alto",S269="Sim"),"Negada","Aprovada")</f>
        <v>Aprovada</v>
      </c>
      <c r="AA269" t="str">
        <f t="shared" si="57"/>
        <v>Aprovada</v>
      </c>
      <c r="AB269">
        <f>IF(AND(Z269="Negada",AA269="Negada"),"Já foi negado",IF(B269="Ativo",X269*8%,"Não liberado"))</f>
        <v>4000</v>
      </c>
    </row>
    <row r="270" spans="1:28">
      <c r="A270" t="s">
        <v>88</v>
      </c>
      <c r="B270" t="str">
        <f t="shared" si="49"/>
        <v>Ativo</v>
      </c>
      <c r="C270" t="str">
        <f t="shared" si="50"/>
        <v>Gilly Marbrand</v>
      </c>
      <c r="D270" s="15" t="s">
        <v>672</v>
      </c>
      <c r="E270" s="16">
        <v>15600</v>
      </c>
      <c r="F270" s="16" t="str">
        <f t="shared" si="58"/>
        <v>000.000.156-00</v>
      </c>
      <c r="G270">
        <v>44</v>
      </c>
      <c r="H270">
        <f t="shared" ca="1" si="59"/>
        <v>44</v>
      </c>
      <c r="I270" s="12">
        <v>29843</v>
      </c>
      <c r="J270" t="s">
        <v>100</v>
      </c>
      <c r="K270" t="str">
        <f t="shared" si="51"/>
        <v>Pedra do Dragão</v>
      </c>
      <c r="L270" t="s">
        <v>101</v>
      </c>
      <c r="M270" t="str" cm="1">
        <f t="array" ref="M270">PROPER(IF(L270&lt;&gt;"",L270,_xlfn.XLOOKUP(1,($K$2:$K$398=K270)*($L$2:$L$398&lt;&gt;""),$L$2:$L$398,"")))</f>
        <v>Terras Da Coroa</v>
      </c>
      <c r="N270">
        <v>11300</v>
      </c>
      <c r="O270">
        <f t="shared" si="48"/>
        <v>11300</v>
      </c>
      <c r="P270">
        <v>55000</v>
      </c>
      <c r="Q270" s="17">
        <f t="shared" si="52"/>
        <v>55000</v>
      </c>
      <c r="R270" t="s">
        <v>49</v>
      </c>
      <c r="S270" t="str">
        <f t="shared" si="53"/>
        <v>Não</v>
      </c>
      <c r="T270">
        <v>38</v>
      </c>
      <c r="U270">
        <f t="shared" si="54"/>
        <v>38</v>
      </c>
      <c r="V270" t="s">
        <v>49</v>
      </c>
      <c r="W270">
        <v>68500</v>
      </c>
      <c r="X270">
        <f t="shared" si="55"/>
        <v>68500</v>
      </c>
      <c r="Y270" t="str">
        <f t="shared" si="56"/>
        <v>Alto</v>
      </c>
      <c r="Z270" t="str">
        <f>IF(AND(Y270="Alto",S270="Sim"),"Negada","Aprovada")</f>
        <v>Aprovada</v>
      </c>
      <c r="AA270" t="str">
        <f t="shared" si="57"/>
        <v>Aprovada</v>
      </c>
      <c r="AB270">
        <f>IF(AND(Z270="Negada",AA270="Negada"),"Já foi negado",IF(B270="Ativo",X270*8%,"Não liberado"))</f>
        <v>5480</v>
      </c>
    </row>
    <row r="271" spans="1:28">
      <c r="A271" t="s">
        <v>88</v>
      </c>
      <c r="B271" t="str">
        <f t="shared" si="49"/>
        <v>Ativo</v>
      </c>
      <c r="C271" t="str">
        <f t="shared" si="50"/>
        <v>Catelyn Lannister</v>
      </c>
      <c r="D271" s="15" t="s">
        <v>673</v>
      </c>
      <c r="E271" s="16" t="s">
        <v>674</v>
      </c>
      <c r="F271" s="16" t="str">
        <f t="shared" si="58"/>
        <v>000.000.110-00</v>
      </c>
      <c r="G271">
        <v>33</v>
      </c>
      <c r="H271">
        <f t="shared" ca="1" si="59"/>
        <v>33</v>
      </c>
      <c r="I271" s="12">
        <v>34070</v>
      </c>
      <c r="J271" t="s">
        <v>312</v>
      </c>
      <c r="K271" t="str">
        <f t="shared" si="51"/>
        <v>Solar do Entardecer</v>
      </c>
      <c r="L271" t="s">
        <v>197</v>
      </c>
      <c r="M271" t="str" cm="1">
        <f t="array" ref="M271">PROPER(IF(L271&lt;&gt;"",L271,_xlfn.XLOOKUP(1,($K$2:$K$398=K271)*($L$2:$L$398&lt;&gt;""),$L$2:$L$398,"")))</f>
        <v>Terras Da Tempestade</v>
      </c>
      <c r="N271">
        <v>29300</v>
      </c>
      <c r="O271">
        <f t="shared" si="48"/>
        <v>29300</v>
      </c>
      <c r="P271">
        <v>69000</v>
      </c>
      <c r="Q271" s="17">
        <f t="shared" si="52"/>
        <v>69000</v>
      </c>
      <c r="R271" t="s">
        <v>50</v>
      </c>
      <c r="S271" t="str">
        <f t="shared" si="53"/>
        <v>Sim</v>
      </c>
      <c r="T271">
        <v>0</v>
      </c>
      <c r="U271">
        <f t="shared" si="54"/>
        <v>0</v>
      </c>
      <c r="V271" t="s">
        <v>50</v>
      </c>
      <c r="W271">
        <v>4500</v>
      </c>
      <c r="X271">
        <f t="shared" si="55"/>
        <v>4500</v>
      </c>
      <c r="Y271" t="str">
        <f t="shared" si="56"/>
        <v>Baixo</v>
      </c>
      <c r="Z271" t="str">
        <f>IF(AND(Y271="Alto",S271="Sim"),"Negada","Aprovada")</f>
        <v>Aprovada</v>
      </c>
      <c r="AA271" t="str">
        <f t="shared" si="57"/>
        <v>Negada</v>
      </c>
      <c r="AB271">
        <f>IF(AND(Z271="Negada",AA271="Negada"),"Já foi negado",IF(B271="Ativo",X271*8%,"Não liberado"))</f>
        <v>360</v>
      </c>
    </row>
    <row r="272" spans="1:28">
      <c r="A272" t="s">
        <v>88</v>
      </c>
      <c r="B272" t="str">
        <f t="shared" si="49"/>
        <v>Ativo</v>
      </c>
      <c r="C272" t="str">
        <f t="shared" si="50"/>
        <v>Gendry Cerwyn</v>
      </c>
      <c r="D272" s="15" t="s">
        <v>675</v>
      </c>
      <c r="E272" s="16" t="s">
        <v>676</v>
      </c>
      <c r="F272" s="16" t="str">
        <f t="shared" si="58"/>
        <v>000.000.153-00</v>
      </c>
      <c r="G272">
        <v>24</v>
      </c>
      <c r="H272">
        <f t="shared" ca="1" si="59"/>
        <v>24</v>
      </c>
      <c r="I272" s="12">
        <v>37394</v>
      </c>
      <c r="J272" t="s">
        <v>677</v>
      </c>
      <c r="K272" t="str">
        <f t="shared" si="51"/>
        <v>Lannisporto</v>
      </c>
      <c r="M272" t="str" cm="1">
        <f t="array" ref="M272">PROPER(IF(L272&lt;&gt;"",L272,_xlfn.XLOOKUP(1,($K$2:$K$398=K272)*($L$2:$L$398&lt;&gt;""),$L$2:$L$398,"")))</f>
        <v>Oeste</v>
      </c>
      <c r="N272">
        <v>14200</v>
      </c>
      <c r="O272">
        <f t="shared" si="48"/>
        <v>14200</v>
      </c>
      <c r="P272">
        <v>71000</v>
      </c>
      <c r="Q272" s="17">
        <f t="shared" si="52"/>
        <v>71000</v>
      </c>
      <c r="R272" t="s">
        <v>49</v>
      </c>
      <c r="S272" t="str">
        <f t="shared" si="53"/>
        <v>Não</v>
      </c>
      <c r="T272">
        <v>10</v>
      </c>
      <c r="U272">
        <f t="shared" si="54"/>
        <v>10</v>
      </c>
      <c r="V272" t="s">
        <v>49</v>
      </c>
      <c r="W272">
        <v>91500</v>
      </c>
      <c r="X272">
        <f t="shared" si="55"/>
        <v>91500</v>
      </c>
      <c r="Y272" t="str">
        <f t="shared" si="56"/>
        <v>Baixo</v>
      </c>
      <c r="Z272" t="str">
        <f>IF(AND(Y272="Alto",S272="Sim"),"Negada","Aprovada")</f>
        <v>Aprovada</v>
      </c>
      <c r="AA272" t="str">
        <f t="shared" si="57"/>
        <v>Aprovada</v>
      </c>
      <c r="AB272">
        <f>IF(AND(Z272="Negada",AA272="Negada"),"Já foi negado",IF(B272="Ativo",X272*8%,"Não liberado"))</f>
        <v>7320</v>
      </c>
    </row>
    <row r="273" spans="1:28">
      <c r="A273" t="s">
        <v>88</v>
      </c>
      <c r="B273" t="str">
        <f t="shared" si="49"/>
        <v>Ativo</v>
      </c>
      <c r="C273" t="str">
        <f t="shared" si="50"/>
        <v>Jon Dayne</v>
      </c>
      <c r="D273" s="15" t="s">
        <v>678</v>
      </c>
      <c r="E273" s="16">
        <v>31900</v>
      </c>
      <c r="F273" s="16" t="str">
        <f t="shared" si="58"/>
        <v>000.000.319-00</v>
      </c>
      <c r="G273">
        <v>20</v>
      </c>
      <c r="H273">
        <f t="shared" ca="1" si="59"/>
        <v>20</v>
      </c>
      <c r="I273" s="12">
        <v>38678</v>
      </c>
      <c r="J273" t="s">
        <v>136</v>
      </c>
      <c r="K273" t="str">
        <f t="shared" si="51"/>
        <v>Braavos</v>
      </c>
      <c r="L273" t="s">
        <v>131</v>
      </c>
      <c r="M273" t="str" cm="1">
        <f t="array" ref="M273">PROPER(IF(L273&lt;&gt;"",L273,_xlfn.XLOOKUP(1,($K$2:$K$398=K273)*($L$2:$L$398&lt;&gt;""),$L$2:$L$398,"")))</f>
        <v>Essos</v>
      </c>
      <c r="N273" s="14">
        <v>9300</v>
      </c>
      <c r="O273">
        <f t="shared" si="48"/>
        <v>9300</v>
      </c>
      <c r="P273" s="14">
        <v>35000</v>
      </c>
      <c r="Q273" s="17">
        <f t="shared" si="52"/>
        <v>35000</v>
      </c>
      <c r="R273" t="s">
        <v>49</v>
      </c>
      <c r="S273" t="str">
        <f t="shared" si="53"/>
        <v>Não</v>
      </c>
      <c r="T273">
        <v>5</v>
      </c>
      <c r="U273">
        <f t="shared" si="54"/>
        <v>5</v>
      </c>
      <c r="V273" t="s">
        <v>49</v>
      </c>
      <c r="W273">
        <v>10500</v>
      </c>
      <c r="X273">
        <f t="shared" si="55"/>
        <v>10500</v>
      </c>
      <c r="Y273" t="str">
        <f t="shared" si="56"/>
        <v>Baixo</v>
      </c>
      <c r="Z273" t="str">
        <f>IF(AND(Y273="Alto",S273="Sim"),"Negada","Aprovada")</f>
        <v>Aprovada</v>
      </c>
      <c r="AA273" t="str">
        <f t="shared" si="57"/>
        <v>Aprovada</v>
      </c>
      <c r="AB273">
        <f>IF(AND(Z273="Negada",AA273="Negada"),"Já foi negado",IF(B273="Ativo",X273*8%,"Não liberado"))</f>
        <v>840</v>
      </c>
    </row>
    <row r="274" spans="1:28">
      <c r="A274" t="s">
        <v>93</v>
      </c>
      <c r="B274" t="str">
        <f t="shared" si="49"/>
        <v>Inativo</v>
      </c>
      <c r="C274" t="str">
        <f t="shared" si="50"/>
        <v>Renly Blackwood</v>
      </c>
      <c r="D274" s="15" t="s">
        <v>679</v>
      </c>
      <c r="E274" s="16" t="s">
        <v>680</v>
      </c>
      <c r="F274" s="16" t="str">
        <f t="shared" si="58"/>
        <v>000.000.106-00</v>
      </c>
      <c r="G274">
        <v>20</v>
      </c>
      <c r="H274">
        <f t="shared" ca="1" si="59"/>
        <v>20</v>
      </c>
      <c r="I274" s="12">
        <v>38704</v>
      </c>
      <c r="J274" t="s">
        <v>312</v>
      </c>
      <c r="K274" t="str">
        <f t="shared" si="51"/>
        <v>Solar do Entardecer</v>
      </c>
      <c r="L274" t="s">
        <v>144</v>
      </c>
      <c r="M274" t="str" cm="1">
        <f t="array" ref="M274">PROPER(IF(L274&lt;&gt;"",L274,_xlfn.XLOOKUP(1,($K$2:$K$398=K274)*($L$2:$L$398&lt;&gt;""),$L$2:$L$398,"")))</f>
        <v>Terras Da Tempestade</v>
      </c>
      <c r="N274">
        <v>12900</v>
      </c>
      <c r="O274">
        <f t="shared" si="48"/>
        <v>12900</v>
      </c>
      <c r="P274" s="13">
        <v>26500</v>
      </c>
      <c r="Q274" s="17">
        <f t="shared" si="52"/>
        <v>26500</v>
      </c>
      <c r="R274" t="s">
        <v>49</v>
      </c>
      <c r="S274" t="str">
        <f t="shared" si="53"/>
        <v>Não</v>
      </c>
      <c r="T274">
        <v>13</v>
      </c>
      <c r="U274">
        <f t="shared" si="54"/>
        <v>13</v>
      </c>
      <c r="V274" t="s">
        <v>49</v>
      </c>
      <c r="W274">
        <v>2000</v>
      </c>
      <c r="X274">
        <f t="shared" si="55"/>
        <v>2000</v>
      </c>
      <c r="Y274" t="str">
        <f t="shared" si="56"/>
        <v>Médio</v>
      </c>
      <c r="Z274" t="str">
        <f>IF(AND(Y274="Alto",S274="Sim"),"Negada","Aprovada")</f>
        <v>Aprovada</v>
      </c>
      <c r="AA274" t="str">
        <f t="shared" si="57"/>
        <v>Aprovada</v>
      </c>
      <c r="AB274" t="str">
        <f>IF(AND(Z274="Negada",AA274="Negada"),"Já foi negado",IF(B274="Ativo",X274*8%,"Não liberado"))</f>
        <v>Não liberado</v>
      </c>
    </row>
    <row r="275" spans="1:28">
      <c r="A275" t="s">
        <v>88</v>
      </c>
      <c r="B275" t="str">
        <f t="shared" si="49"/>
        <v>Ativo</v>
      </c>
      <c r="C275" t="str">
        <f t="shared" si="50"/>
        <v>Davos  Baratheon</v>
      </c>
      <c r="D275" s="15" t="s">
        <v>681</v>
      </c>
      <c r="E275" s="16" t="s">
        <v>682</v>
      </c>
      <c r="F275" s="16" t="str">
        <f t="shared" si="58"/>
        <v>000.000.055-00</v>
      </c>
      <c r="H275">
        <f t="shared" ca="1" si="59"/>
        <v>27</v>
      </c>
      <c r="I275" s="12">
        <v>36337</v>
      </c>
      <c r="J275" t="s">
        <v>179</v>
      </c>
      <c r="K275" t="str">
        <f t="shared" si="51"/>
        <v>Winterfell</v>
      </c>
      <c r="L275" t="s">
        <v>151</v>
      </c>
      <c r="M275" t="str" cm="1">
        <f t="array" ref="M275">PROPER(IF(L275&lt;&gt;"",L275,_xlfn.XLOOKUP(1,($K$2:$K$398=K275)*($L$2:$L$398&lt;&gt;""),$L$2:$L$398,"")))</f>
        <v>Norte</v>
      </c>
      <c r="N275">
        <v>22500</v>
      </c>
      <c r="O275">
        <f t="shared" si="48"/>
        <v>22500</v>
      </c>
      <c r="P275">
        <v>55500</v>
      </c>
      <c r="Q275" s="17">
        <f t="shared" si="52"/>
        <v>55500</v>
      </c>
      <c r="R275" t="s">
        <v>49</v>
      </c>
      <c r="S275" t="str">
        <f t="shared" si="53"/>
        <v>Não</v>
      </c>
      <c r="T275">
        <v>32</v>
      </c>
      <c r="U275">
        <f t="shared" si="54"/>
        <v>32</v>
      </c>
      <c r="V275" t="s">
        <v>49</v>
      </c>
      <c r="W275">
        <v>91500</v>
      </c>
      <c r="X275">
        <f t="shared" si="55"/>
        <v>91500</v>
      </c>
      <c r="Y275" t="str">
        <f t="shared" si="56"/>
        <v>Alto</v>
      </c>
      <c r="Z275" t="str">
        <f>IF(AND(Y275="Alto",S275="Sim"),"Negada","Aprovada")</f>
        <v>Aprovada</v>
      </c>
      <c r="AA275" t="str">
        <f t="shared" si="57"/>
        <v>Aprovada</v>
      </c>
      <c r="AB275">
        <f>IF(AND(Z275="Negada",AA275="Negada"),"Já foi negado",IF(B275="Ativo",X275*8%,"Não liberado"))</f>
        <v>7320</v>
      </c>
    </row>
    <row r="276" spans="1:28">
      <c r="A276" t="s">
        <v>88</v>
      </c>
      <c r="B276" t="str">
        <f t="shared" si="49"/>
        <v>Ativo</v>
      </c>
      <c r="C276" t="str">
        <f t="shared" si="50"/>
        <v>Bronn Crakehall</v>
      </c>
      <c r="D276" s="15" t="s">
        <v>683</v>
      </c>
      <c r="E276" s="16">
        <v>29500</v>
      </c>
      <c r="F276" s="16" t="str">
        <f t="shared" si="58"/>
        <v>000.000.295-00</v>
      </c>
      <c r="G276">
        <v>68</v>
      </c>
      <c r="H276">
        <f t="shared" ca="1" si="59"/>
        <v>68</v>
      </c>
      <c r="I276" s="12">
        <v>21079</v>
      </c>
      <c r="J276" t="s">
        <v>254</v>
      </c>
      <c r="K276" t="str">
        <f t="shared" si="51"/>
        <v>Atalaia da �gua Cinzenta</v>
      </c>
      <c r="L276" t="s">
        <v>258</v>
      </c>
      <c r="M276" t="str" cm="1">
        <f t="array" ref="M276">PROPER(IF(L276&lt;&gt;"",L276,_xlfn.XLOOKUP(1,($K$2:$K$398=K276)*($L$2:$L$398&lt;&gt;""),$L$2:$L$398,"")))</f>
        <v>Gargalo</v>
      </c>
      <c r="N276" t="s">
        <v>684</v>
      </c>
      <c r="O276">
        <f t="shared" si="48"/>
        <v>3600</v>
      </c>
      <c r="P276">
        <v>64500</v>
      </c>
      <c r="Q276" s="17">
        <f t="shared" si="52"/>
        <v>64500</v>
      </c>
      <c r="R276" t="s">
        <v>50</v>
      </c>
      <c r="S276" t="str">
        <f t="shared" si="53"/>
        <v>Sim</v>
      </c>
      <c r="T276">
        <v>32</v>
      </c>
      <c r="U276">
        <f t="shared" si="54"/>
        <v>32</v>
      </c>
      <c r="V276" t="s">
        <v>50</v>
      </c>
      <c r="W276">
        <v>35500</v>
      </c>
      <c r="X276">
        <f t="shared" si="55"/>
        <v>35500</v>
      </c>
      <c r="Y276" t="str">
        <f t="shared" si="56"/>
        <v>Alto</v>
      </c>
      <c r="Z276" t="str">
        <f>IF(AND(Y276="Alto",S276="Sim"),"Negada","Aprovada")</f>
        <v>Negada</v>
      </c>
      <c r="AA276" t="str">
        <f t="shared" si="57"/>
        <v>Negada</v>
      </c>
      <c r="AB276" t="str">
        <f>IF(AND(Z276="Negada",AA276="Negada"),"Já foi negado",IF(B276="Ativo",X276*8%,"Não liberado"))</f>
        <v>Já foi negado</v>
      </c>
    </row>
    <row r="277" spans="1:28">
      <c r="A277" t="s">
        <v>88</v>
      </c>
      <c r="B277" t="str">
        <f t="shared" si="49"/>
        <v>Ativo</v>
      </c>
      <c r="C277" t="str">
        <f t="shared" si="50"/>
        <v>Jorah Marbrand</v>
      </c>
      <c r="D277" s="15" t="s">
        <v>533</v>
      </c>
      <c r="E277" s="16" t="s">
        <v>685</v>
      </c>
      <c r="F277" s="16" t="str">
        <f t="shared" si="58"/>
        <v>000.000.339-00</v>
      </c>
      <c r="G277">
        <v>53</v>
      </c>
      <c r="H277">
        <f t="shared" ca="1" si="59"/>
        <v>53</v>
      </c>
      <c r="I277" s="12">
        <v>26558</v>
      </c>
      <c r="J277" t="s">
        <v>100</v>
      </c>
      <c r="K277" t="str">
        <f t="shared" si="51"/>
        <v>Pedra do Dragão</v>
      </c>
      <c r="L277" t="s">
        <v>174</v>
      </c>
      <c r="M277" t="str" cm="1">
        <f t="array" ref="M277">PROPER(IF(L277&lt;&gt;"",L277,_xlfn.XLOOKUP(1,($K$2:$K$398=K277)*($L$2:$L$398&lt;&gt;""),$L$2:$L$398,"")))</f>
        <v>Terras Da Coroa</v>
      </c>
      <c r="N277">
        <v>15500</v>
      </c>
      <c r="O277">
        <f t="shared" si="48"/>
        <v>15500</v>
      </c>
      <c r="Q277" s="17">
        <f t="shared" si="52"/>
        <v>0</v>
      </c>
      <c r="R277" t="s">
        <v>49</v>
      </c>
      <c r="S277" t="str">
        <f t="shared" si="53"/>
        <v>Não</v>
      </c>
      <c r="T277">
        <v>16</v>
      </c>
      <c r="U277">
        <f t="shared" si="54"/>
        <v>16</v>
      </c>
      <c r="V277" t="s">
        <v>49</v>
      </c>
      <c r="W277">
        <v>41000</v>
      </c>
      <c r="X277">
        <f t="shared" si="55"/>
        <v>41000</v>
      </c>
      <c r="Y277" t="str">
        <f t="shared" si="56"/>
        <v>Médio</v>
      </c>
      <c r="Z277" t="str">
        <f>IF(AND(Y277="Alto",S277="Sim"),"Negada","Aprovada")</f>
        <v>Aprovada</v>
      </c>
      <c r="AA277" t="str">
        <f t="shared" si="57"/>
        <v>Aprovada</v>
      </c>
      <c r="AB277">
        <f>IF(AND(Z277="Negada",AA277="Negada"),"Já foi negado",IF(B277="Ativo",X277*8%,"Não liberado"))</f>
        <v>3280</v>
      </c>
    </row>
    <row r="278" spans="1:28">
      <c r="A278" t="s">
        <v>88</v>
      </c>
      <c r="B278" t="str">
        <f t="shared" si="49"/>
        <v>Ativo</v>
      </c>
      <c r="C278" t="str">
        <f t="shared" si="50"/>
        <v>Cersei Umber</v>
      </c>
      <c r="D278" s="15" t="s">
        <v>686</v>
      </c>
      <c r="E278" s="16" t="s">
        <v>687</v>
      </c>
      <c r="F278" s="16" t="str">
        <f t="shared" si="58"/>
        <v>000.000.058-00</v>
      </c>
      <c r="G278">
        <v>62</v>
      </c>
      <c r="H278" t="str">
        <f t="shared" ca="1" si="59"/>
        <v>N/A</v>
      </c>
      <c r="J278" t="s">
        <v>182</v>
      </c>
      <c r="K278" t="str">
        <f t="shared" si="51"/>
        <v>Jardim de Cima</v>
      </c>
      <c r="L278" t="s">
        <v>158</v>
      </c>
      <c r="M278" t="str" cm="1">
        <f t="array" ref="M278">PROPER(IF(L278&lt;&gt;"",L278,_xlfn.XLOOKUP(1,($K$2:$K$398=K278)*($L$2:$L$398&lt;&gt;""),$L$2:$L$398,"")))</f>
        <v>Campina</v>
      </c>
      <c r="N278">
        <v>1900</v>
      </c>
      <c r="O278">
        <f t="shared" ref="O278:O341" si="60">IF(N278="","Não informado",IFERROR(VALUE(SUBSTITUTE(SUBSTITUTE(N278,"R$ ","")," moedas","")),N278))</f>
        <v>1900</v>
      </c>
      <c r="P278">
        <v>3500</v>
      </c>
      <c r="Q278" s="17">
        <f t="shared" si="52"/>
        <v>3500</v>
      </c>
      <c r="R278" t="s">
        <v>49</v>
      </c>
      <c r="S278" t="str">
        <f t="shared" si="53"/>
        <v>Não</v>
      </c>
      <c r="T278">
        <v>19</v>
      </c>
      <c r="U278">
        <f t="shared" si="54"/>
        <v>19</v>
      </c>
      <c r="V278" t="s">
        <v>49</v>
      </c>
      <c r="W278">
        <v>62000</v>
      </c>
      <c r="X278">
        <f t="shared" si="55"/>
        <v>62000</v>
      </c>
      <c r="Y278" t="str">
        <f t="shared" si="56"/>
        <v>Médio</v>
      </c>
      <c r="Z278" t="str">
        <f>IF(AND(Y278="Alto",S278="Sim"),"Negada","Aprovada")</f>
        <v>Aprovada</v>
      </c>
      <c r="AA278" t="str">
        <f t="shared" si="57"/>
        <v>Aprovada</v>
      </c>
      <c r="AB278">
        <f>IF(AND(Z278="Negada",AA278="Negada"),"Já foi negado",IF(B278="Ativo",X278*8%,"Não liberado"))</f>
        <v>4960</v>
      </c>
    </row>
    <row r="279" spans="1:28">
      <c r="A279" t="s">
        <v>88</v>
      </c>
      <c r="B279" t="str">
        <f t="shared" si="49"/>
        <v>Ativo</v>
      </c>
      <c r="C279" t="str">
        <f t="shared" si="50"/>
        <v>Petyr Yronwood</v>
      </c>
      <c r="D279" s="15" t="s">
        <v>688</v>
      </c>
      <c r="E279" s="16" t="s">
        <v>689</v>
      </c>
      <c r="F279" s="16" t="str">
        <f t="shared" si="58"/>
        <v>000.000.095-00</v>
      </c>
      <c r="G279">
        <v>61</v>
      </c>
      <c r="H279">
        <f t="shared" ca="1" si="59"/>
        <v>61</v>
      </c>
      <c r="I279" s="12">
        <v>23964</v>
      </c>
      <c r="J279" t="s">
        <v>163</v>
      </c>
      <c r="K279" t="str">
        <f t="shared" si="51"/>
        <v>Ilha dos Ursos</v>
      </c>
      <c r="L279" t="s">
        <v>164</v>
      </c>
      <c r="M279" t="str" cm="1">
        <f t="array" ref="M279">PROPER(IF(L279&lt;&gt;"",L279,_xlfn.XLOOKUP(1,($K$2:$K$398=K279)*($L$2:$L$398&lt;&gt;""),$L$2:$L$398,"")))</f>
        <v>Norte</v>
      </c>
      <c r="N279">
        <v>7000</v>
      </c>
      <c r="O279">
        <f t="shared" si="60"/>
        <v>7000</v>
      </c>
      <c r="P279">
        <v>1500</v>
      </c>
      <c r="Q279" s="17">
        <f t="shared" si="52"/>
        <v>1500</v>
      </c>
      <c r="R279" t="s">
        <v>50</v>
      </c>
      <c r="S279" t="str">
        <f t="shared" si="53"/>
        <v>Sim</v>
      </c>
      <c r="T279">
        <v>32</v>
      </c>
      <c r="U279">
        <f t="shared" si="54"/>
        <v>32</v>
      </c>
      <c r="V279" t="s">
        <v>50</v>
      </c>
      <c r="W279">
        <v>53000</v>
      </c>
      <c r="X279">
        <f t="shared" si="55"/>
        <v>53000</v>
      </c>
      <c r="Y279" t="str">
        <f t="shared" si="56"/>
        <v>Alto</v>
      </c>
      <c r="Z279" t="str">
        <f>IF(AND(Y279="Alto",S279="Sim"),"Negada","Aprovada")</f>
        <v>Negada</v>
      </c>
      <c r="AA279" t="str">
        <f t="shared" si="57"/>
        <v>Aprovada</v>
      </c>
      <c r="AB279">
        <f>IF(AND(Z279="Negada",AA279="Negada"),"Já foi negado",IF(B279="Ativo",X279*8%,"Não liberado"))</f>
        <v>4240</v>
      </c>
    </row>
    <row r="280" spans="1:28">
      <c r="A280" t="s">
        <v>88</v>
      </c>
      <c r="B280" t="str">
        <f t="shared" si="49"/>
        <v>Ativo</v>
      </c>
      <c r="C280" t="str">
        <f t="shared" si="50"/>
        <v>Robert Westerling</v>
      </c>
      <c r="D280" s="15" t="s">
        <v>690</v>
      </c>
      <c r="E280" s="16" t="s">
        <v>691</v>
      </c>
      <c r="F280" s="16" t="str">
        <f t="shared" si="58"/>
        <v>000.000.105-00</v>
      </c>
      <c r="G280">
        <v>25</v>
      </c>
      <c r="H280">
        <f t="shared" ca="1" si="59"/>
        <v>25</v>
      </c>
      <c r="I280" s="12">
        <v>37118</v>
      </c>
      <c r="J280" t="s">
        <v>182</v>
      </c>
      <c r="K280" t="str">
        <f t="shared" si="51"/>
        <v>Jardim de Cima</v>
      </c>
      <c r="L280" t="s">
        <v>158</v>
      </c>
      <c r="M280" t="str" cm="1">
        <f t="array" ref="M280">PROPER(IF(L280&lt;&gt;"",L280,_xlfn.XLOOKUP(1,($K$2:$K$398=K280)*($L$2:$L$398&lt;&gt;""),$L$2:$L$398,"")))</f>
        <v>Campina</v>
      </c>
      <c r="N280" t="s">
        <v>692</v>
      </c>
      <c r="O280">
        <f t="shared" si="60"/>
        <v>27300</v>
      </c>
      <c r="P280">
        <v>1500</v>
      </c>
      <c r="Q280" s="17">
        <f t="shared" si="52"/>
        <v>1500</v>
      </c>
      <c r="R280">
        <v>1</v>
      </c>
      <c r="S280" t="str">
        <f t="shared" si="53"/>
        <v>Sim</v>
      </c>
      <c r="T280">
        <v>33</v>
      </c>
      <c r="U280">
        <f t="shared" si="54"/>
        <v>33</v>
      </c>
      <c r="V280">
        <v>1</v>
      </c>
      <c r="W280">
        <v>14000</v>
      </c>
      <c r="X280">
        <f t="shared" si="55"/>
        <v>14000</v>
      </c>
      <c r="Y280" t="str">
        <f t="shared" si="56"/>
        <v>Alto</v>
      </c>
      <c r="Z280" t="str">
        <f>IF(AND(Y280="Alto",S280="Sim"),"Negada","Aprovada")</f>
        <v>Negada</v>
      </c>
      <c r="AA280" t="str">
        <f t="shared" si="57"/>
        <v>Aprovada</v>
      </c>
      <c r="AB280">
        <f>IF(AND(Z280="Negada",AA280="Negada"),"Já foi negado",IF(B280="Ativo",X280*8%,"Não liberado"))</f>
        <v>1120</v>
      </c>
    </row>
    <row r="281" spans="1:28">
      <c r="A281" t="s">
        <v>88</v>
      </c>
      <c r="B281" t="str">
        <f t="shared" si="49"/>
        <v>Ativo</v>
      </c>
      <c r="C281" t="str">
        <f t="shared" si="50"/>
        <v>Jon Tarth</v>
      </c>
      <c r="D281" s="15" t="s">
        <v>693</v>
      </c>
      <c r="E281" s="16" t="s">
        <v>694</v>
      </c>
      <c r="F281" s="16" t="str">
        <f t="shared" si="58"/>
        <v>000.000.208-00</v>
      </c>
      <c r="G281">
        <v>52</v>
      </c>
      <c r="H281">
        <f t="shared" ca="1" si="59"/>
        <v>52</v>
      </c>
      <c r="I281" s="12">
        <v>27088</v>
      </c>
      <c r="J281" t="s">
        <v>95</v>
      </c>
      <c r="K281" t="str">
        <f t="shared" si="51"/>
        <v>Ponta Tempestade</v>
      </c>
      <c r="L281" t="s">
        <v>313</v>
      </c>
      <c r="M281" t="str" cm="1">
        <f t="array" ref="M281">PROPER(IF(L281&lt;&gt;"",L281,_xlfn.XLOOKUP(1,($K$2:$K$398=K281)*($L$2:$L$398&lt;&gt;""),$L$2:$L$398,"")))</f>
        <v>Terras Da Tempestade</v>
      </c>
      <c r="N281">
        <v>24900</v>
      </c>
      <c r="O281">
        <f t="shared" si="60"/>
        <v>24900</v>
      </c>
      <c r="P281">
        <v>0</v>
      </c>
      <c r="Q281" s="17">
        <f t="shared" si="52"/>
        <v>0</v>
      </c>
      <c r="R281" t="s">
        <v>49</v>
      </c>
      <c r="S281" t="str">
        <f t="shared" si="53"/>
        <v>Não</v>
      </c>
      <c r="T281" t="s">
        <v>368</v>
      </c>
      <c r="U281">
        <f t="shared" si="54"/>
        <v>24</v>
      </c>
      <c r="V281" t="s">
        <v>49</v>
      </c>
      <c r="W281">
        <v>16000</v>
      </c>
      <c r="X281">
        <f t="shared" si="55"/>
        <v>16000</v>
      </c>
      <c r="Y281" t="str">
        <f t="shared" si="56"/>
        <v>Médio</v>
      </c>
      <c r="Z281" t="str">
        <f>IF(AND(Y281="Alto",S281="Sim"),"Negada","Aprovada")</f>
        <v>Aprovada</v>
      </c>
      <c r="AA281" t="str">
        <f t="shared" si="57"/>
        <v>Aprovada</v>
      </c>
      <c r="AB281">
        <f>IF(AND(Z281="Negada",AA281="Negada"),"Já foi negado",IF(B281="Ativo",X281*8%,"Não liberado"))</f>
        <v>1280</v>
      </c>
    </row>
    <row r="282" spans="1:28">
      <c r="A282" t="s">
        <v>93</v>
      </c>
      <c r="B282" t="str">
        <f t="shared" si="49"/>
        <v>Inativo</v>
      </c>
      <c r="C282" t="str">
        <f t="shared" si="50"/>
        <v>Jaime Seaworth</v>
      </c>
      <c r="D282" s="15" t="s">
        <v>695</v>
      </c>
      <c r="E282" s="16" t="s">
        <v>696</v>
      </c>
      <c r="F282" s="16" t="str">
        <f t="shared" si="58"/>
        <v>000.000.263-00</v>
      </c>
      <c r="G282">
        <v>33</v>
      </c>
      <c r="H282">
        <f t="shared" ca="1" si="59"/>
        <v>33</v>
      </c>
      <c r="I282" s="12">
        <v>33989</v>
      </c>
      <c r="J282" t="s">
        <v>234</v>
      </c>
      <c r="K282" t="str">
        <f t="shared" si="51"/>
        <v>Porto Real</v>
      </c>
      <c r="L282" t="s">
        <v>174</v>
      </c>
      <c r="M282" t="str" cm="1">
        <f t="array" ref="M282">PROPER(IF(L282&lt;&gt;"",L282,_xlfn.XLOOKUP(1,($K$2:$K$398=K282)*($L$2:$L$398&lt;&gt;""),$L$2:$L$398,"")))</f>
        <v>Terras Da Coroa</v>
      </c>
      <c r="N282">
        <v>23400</v>
      </c>
      <c r="O282">
        <f t="shared" si="60"/>
        <v>23400</v>
      </c>
      <c r="P282">
        <v>59000</v>
      </c>
      <c r="Q282" s="17">
        <f t="shared" si="52"/>
        <v>59000</v>
      </c>
      <c r="R282" t="s">
        <v>191</v>
      </c>
      <c r="S282" t="str">
        <f t="shared" si="53"/>
        <v>Sim</v>
      </c>
      <c r="T282">
        <v>35</v>
      </c>
      <c r="U282">
        <f t="shared" si="54"/>
        <v>35</v>
      </c>
      <c r="V282" t="s">
        <v>191</v>
      </c>
      <c r="W282">
        <v>39000</v>
      </c>
      <c r="X282">
        <f t="shared" si="55"/>
        <v>39000</v>
      </c>
      <c r="Y282" t="str">
        <f t="shared" si="56"/>
        <v>Alto</v>
      </c>
      <c r="Z282" t="str">
        <f>IF(AND(Y282="Alto",S282="Sim"),"Negada","Aprovada")</f>
        <v>Negada</v>
      </c>
      <c r="AA282" t="str">
        <f t="shared" si="57"/>
        <v>Negada</v>
      </c>
      <c r="AB282" t="str">
        <f>IF(AND(Z282="Negada",AA282="Negada"),"Já foi negado",IF(B282="Ativo",X282*8%,"Não liberado"))</f>
        <v>Já foi negado</v>
      </c>
    </row>
    <row r="283" spans="1:28">
      <c r="A283" t="s">
        <v>93</v>
      </c>
      <c r="B283" t="str">
        <f t="shared" si="49"/>
        <v>Inativo</v>
      </c>
      <c r="C283" t="str">
        <f t="shared" si="50"/>
        <v>Jorah  Tyrell</v>
      </c>
      <c r="D283" s="15" t="s">
        <v>697</v>
      </c>
      <c r="E283" s="16" t="s">
        <v>698</v>
      </c>
      <c r="F283" s="16" t="str">
        <f t="shared" si="58"/>
        <v>000.000.229-00</v>
      </c>
      <c r="G283">
        <v>48</v>
      </c>
      <c r="H283">
        <f t="shared" ca="1" si="59"/>
        <v>48</v>
      </c>
      <c r="I283" s="12">
        <v>28737</v>
      </c>
      <c r="J283" t="s">
        <v>234</v>
      </c>
      <c r="K283" t="str">
        <f t="shared" si="51"/>
        <v>Porto Real</v>
      </c>
      <c r="L283" t="s">
        <v>101</v>
      </c>
      <c r="M283" t="str" cm="1">
        <f t="array" ref="M283">PROPER(IF(L283&lt;&gt;"",L283,_xlfn.XLOOKUP(1,($K$2:$K$398=K283)*($L$2:$L$398&lt;&gt;""),$L$2:$L$398,"")))</f>
        <v>Terras Da Coroa</v>
      </c>
      <c r="N283">
        <v>12400</v>
      </c>
      <c r="O283">
        <f t="shared" si="60"/>
        <v>12400</v>
      </c>
      <c r="P283">
        <v>0</v>
      </c>
      <c r="Q283" s="17">
        <f t="shared" si="52"/>
        <v>0</v>
      </c>
      <c r="R283" t="s">
        <v>49</v>
      </c>
      <c r="S283" t="str">
        <f t="shared" si="53"/>
        <v>Não</v>
      </c>
      <c r="T283">
        <v>25</v>
      </c>
      <c r="U283">
        <f t="shared" si="54"/>
        <v>25</v>
      </c>
      <c r="V283" t="s">
        <v>49</v>
      </c>
      <c r="W283">
        <v>65500</v>
      </c>
      <c r="X283">
        <f t="shared" si="55"/>
        <v>65500</v>
      </c>
      <c r="Y283" t="str">
        <f t="shared" si="56"/>
        <v>Médio</v>
      </c>
      <c r="Z283" t="str">
        <f>IF(AND(Y283="Alto",S283="Sim"),"Negada","Aprovada")</f>
        <v>Aprovada</v>
      </c>
      <c r="AA283" t="str">
        <f t="shared" si="57"/>
        <v>Aprovada</v>
      </c>
      <c r="AB283" t="str">
        <f>IF(AND(Z283="Negada",AA283="Negada"),"Já foi negado",IF(B283="Ativo",X283*8%,"Não liberado"))</f>
        <v>Não liberado</v>
      </c>
    </row>
    <row r="284" spans="1:28">
      <c r="A284" t="s">
        <v>93</v>
      </c>
      <c r="B284" t="str">
        <f t="shared" si="49"/>
        <v>Inativo</v>
      </c>
      <c r="C284" t="str">
        <f t="shared" si="50"/>
        <v>Eddard Stark</v>
      </c>
      <c r="D284" s="15" t="s">
        <v>699</v>
      </c>
      <c r="E284" s="16" t="s">
        <v>700</v>
      </c>
      <c r="F284" s="16" t="str">
        <f t="shared" si="58"/>
        <v>000.000.015-00</v>
      </c>
      <c r="G284">
        <v>55</v>
      </c>
      <c r="H284">
        <f t="shared" ca="1" si="59"/>
        <v>55</v>
      </c>
      <c r="I284" s="12">
        <v>26142</v>
      </c>
      <c r="J284" t="s">
        <v>91</v>
      </c>
      <c r="K284" t="str">
        <f t="shared" si="51"/>
        <v>Ninho da Águia</v>
      </c>
      <c r="L284" t="s">
        <v>446</v>
      </c>
      <c r="M284" t="str" cm="1">
        <f t="array" ref="M284">PROPER(IF(L284&lt;&gt;"",L284,_xlfn.XLOOKUP(1,($K$2:$K$398=K284)*($L$2:$L$398&lt;&gt;""),$L$2:$L$398,"")))</f>
        <v>Vale</v>
      </c>
      <c r="N284" t="s">
        <v>701</v>
      </c>
      <c r="O284">
        <f t="shared" si="60"/>
        <v>29700</v>
      </c>
      <c r="P284" t="s">
        <v>562</v>
      </c>
      <c r="Q284" s="17">
        <f t="shared" si="52"/>
        <v>78000</v>
      </c>
      <c r="R284" t="s">
        <v>50</v>
      </c>
      <c r="S284" t="str">
        <f t="shared" si="53"/>
        <v>Sim</v>
      </c>
      <c r="T284">
        <v>14</v>
      </c>
      <c r="U284">
        <f t="shared" si="54"/>
        <v>14</v>
      </c>
      <c r="V284" t="s">
        <v>50</v>
      </c>
      <c r="W284">
        <v>27000</v>
      </c>
      <c r="X284">
        <f t="shared" si="55"/>
        <v>27000</v>
      </c>
      <c r="Y284" t="str">
        <f t="shared" si="56"/>
        <v>Médio</v>
      </c>
      <c r="Z284" t="str">
        <f>IF(AND(Y284="Alto",S284="Sim"),"Negada","Aprovada")</f>
        <v>Aprovada</v>
      </c>
      <c r="AA284" t="str">
        <f t="shared" si="57"/>
        <v>Negada</v>
      </c>
      <c r="AB284" t="str">
        <f>IF(AND(Z284="Negada",AA284="Negada"),"Já foi negado",IF(B284="Ativo",X284*8%,"Não liberado"))</f>
        <v>Não liberado</v>
      </c>
    </row>
    <row r="285" spans="1:28">
      <c r="A285" t="s">
        <v>88</v>
      </c>
      <c r="B285" t="str">
        <f t="shared" si="49"/>
        <v>Ativo</v>
      </c>
      <c r="C285" t="str">
        <f t="shared" si="50"/>
        <v>Lyanna Tarly</v>
      </c>
      <c r="D285" s="15" t="s">
        <v>702</v>
      </c>
      <c r="E285" s="16" t="s">
        <v>703</v>
      </c>
      <c r="F285" s="16" t="str">
        <f t="shared" si="58"/>
        <v>000.000.232-00</v>
      </c>
      <c r="G285">
        <v>28</v>
      </c>
      <c r="H285" t="str">
        <f t="shared" ca="1" si="59"/>
        <v>N/A</v>
      </c>
      <c r="J285" t="s">
        <v>136</v>
      </c>
      <c r="K285" t="str">
        <f t="shared" si="51"/>
        <v>Braavos</v>
      </c>
      <c r="L285" t="s">
        <v>131</v>
      </c>
      <c r="M285" t="str" cm="1">
        <f t="array" ref="M285">PROPER(IF(L285&lt;&gt;"",L285,_xlfn.XLOOKUP(1,($K$2:$K$398=K285)*($L$2:$L$398&lt;&gt;""),$L$2:$L$398,"")))</f>
        <v>Essos</v>
      </c>
      <c r="N285">
        <v>14500</v>
      </c>
      <c r="O285">
        <f t="shared" si="60"/>
        <v>14500</v>
      </c>
      <c r="P285">
        <v>39500</v>
      </c>
      <c r="Q285" s="17">
        <f t="shared" si="52"/>
        <v>39500</v>
      </c>
      <c r="R285" t="s">
        <v>49</v>
      </c>
      <c r="S285" t="str">
        <f t="shared" si="53"/>
        <v>Não</v>
      </c>
      <c r="T285">
        <v>18</v>
      </c>
      <c r="U285">
        <f t="shared" si="54"/>
        <v>18</v>
      </c>
      <c r="V285" t="s">
        <v>49</v>
      </c>
      <c r="W285">
        <v>32000</v>
      </c>
      <c r="X285">
        <f t="shared" si="55"/>
        <v>32000</v>
      </c>
      <c r="Y285" t="str">
        <f t="shared" si="56"/>
        <v>Médio</v>
      </c>
      <c r="Z285" t="str">
        <f>IF(AND(Y285="Alto",S285="Sim"),"Negada","Aprovada")</f>
        <v>Aprovada</v>
      </c>
      <c r="AA285" t="str">
        <f t="shared" si="57"/>
        <v>Aprovada</v>
      </c>
      <c r="AB285">
        <f>IF(AND(Z285="Negada",AA285="Negada"),"Já foi negado",IF(B285="Ativo",X285*8%,"Não liberado"))</f>
        <v>2560</v>
      </c>
    </row>
    <row r="286" spans="1:28">
      <c r="A286" t="s">
        <v>88</v>
      </c>
      <c r="B286" t="str">
        <f t="shared" si="49"/>
        <v>Ativo</v>
      </c>
      <c r="C286" t="str">
        <f t="shared" si="50"/>
        <v>Cersei Tarth</v>
      </c>
      <c r="D286" s="15" t="s">
        <v>704</v>
      </c>
      <c r="E286" s="16" t="s">
        <v>705</v>
      </c>
      <c r="F286" s="16" t="str">
        <f t="shared" si="58"/>
        <v>000.000.147-00</v>
      </c>
      <c r="G286">
        <v>52</v>
      </c>
      <c r="H286">
        <f t="shared" ca="1" si="59"/>
        <v>52</v>
      </c>
      <c r="I286" s="12">
        <v>26921</v>
      </c>
      <c r="J286" t="s">
        <v>163</v>
      </c>
      <c r="K286" t="str">
        <f t="shared" si="51"/>
        <v>Ilha dos Ursos</v>
      </c>
      <c r="L286" t="s">
        <v>151</v>
      </c>
      <c r="M286" t="str" cm="1">
        <f t="array" ref="M286">PROPER(IF(L286&lt;&gt;"",L286,_xlfn.XLOOKUP(1,($K$2:$K$398=K286)*($L$2:$L$398&lt;&gt;""),$L$2:$L$398,"")))</f>
        <v>Norte</v>
      </c>
      <c r="N286">
        <v>7300</v>
      </c>
      <c r="O286">
        <f t="shared" si="60"/>
        <v>7300</v>
      </c>
      <c r="P286" t="s">
        <v>706</v>
      </c>
      <c r="Q286" s="17">
        <f t="shared" si="52"/>
        <v>74000</v>
      </c>
      <c r="R286" t="s">
        <v>49</v>
      </c>
      <c r="S286" t="str">
        <f t="shared" si="53"/>
        <v>Não</v>
      </c>
      <c r="T286">
        <v>40</v>
      </c>
      <c r="U286">
        <f t="shared" si="54"/>
        <v>40</v>
      </c>
      <c r="V286" t="s">
        <v>49</v>
      </c>
      <c r="W286">
        <v>34500</v>
      </c>
      <c r="X286">
        <f t="shared" si="55"/>
        <v>34500</v>
      </c>
      <c r="Y286" t="str">
        <f t="shared" si="56"/>
        <v>Alto</v>
      </c>
      <c r="Z286" t="str">
        <f>IF(AND(Y286="Alto",S286="Sim"),"Negada","Aprovada")</f>
        <v>Aprovada</v>
      </c>
      <c r="AA286" t="str">
        <f t="shared" si="57"/>
        <v>Aprovada</v>
      </c>
      <c r="AB286">
        <f>IF(AND(Z286="Negada",AA286="Negada"),"Já foi negado",IF(B286="Ativo",X286*8%,"Não liberado"))</f>
        <v>2760</v>
      </c>
    </row>
    <row r="287" spans="1:28">
      <c r="A287" t="s">
        <v>88</v>
      </c>
      <c r="B287" t="str">
        <f t="shared" si="49"/>
        <v>Ativo</v>
      </c>
      <c r="C287" t="str">
        <f t="shared" si="50"/>
        <v>Catelyn Mallister</v>
      </c>
      <c r="D287" s="15" t="s">
        <v>707</v>
      </c>
      <c r="E287" s="16" t="s">
        <v>708</v>
      </c>
      <c r="F287" s="16" t="str">
        <f t="shared" si="58"/>
        <v>000.000.062-00</v>
      </c>
      <c r="G287">
        <v>63</v>
      </c>
      <c r="H287">
        <f t="shared" ca="1" si="59"/>
        <v>63</v>
      </c>
      <c r="I287" s="12">
        <v>23006</v>
      </c>
      <c r="J287" t="s">
        <v>709</v>
      </c>
      <c r="K287" t="str">
        <f t="shared" si="51"/>
        <v>Castelo Negro</v>
      </c>
      <c r="M287" t="str" cm="1">
        <f t="array" ref="M287">PROPER(IF(L287&lt;&gt;"",L287,_xlfn.XLOOKUP(1,($K$2:$K$398=K287)*($L$2:$L$398&lt;&gt;""),$L$2:$L$398,"")))</f>
        <v>Norte</v>
      </c>
      <c r="N287">
        <v>11200</v>
      </c>
      <c r="O287">
        <f t="shared" si="60"/>
        <v>11200</v>
      </c>
      <c r="Q287" s="17">
        <f t="shared" si="52"/>
        <v>0</v>
      </c>
      <c r="S287" t="str">
        <f t="shared" si="53"/>
        <v>Não</v>
      </c>
      <c r="T287">
        <v>41</v>
      </c>
      <c r="U287">
        <f t="shared" si="54"/>
        <v>41</v>
      </c>
      <c r="W287">
        <v>83500</v>
      </c>
      <c r="X287">
        <f t="shared" si="55"/>
        <v>83500</v>
      </c>
      <c r="Y287" t="str">
        <f t="shared" si="56"/>
        <v>Alto</v>
      </c>
      <c r="Z287" t="str">
        <f>IF(AND(Y287="Alto",S287="Sim"),"Negada","Aprovada")</f>
        <v>Aprovada</v>
      </c>
      <c r="AA287" t="str">
        <f t="shared" si="57"/>
        <v>Aprovada</v>
      </c>
      <c r="AB287">
        <f>IF(AND(Z287="Negada",AA287="Negada"),"Já foi negado",IF(B287="Ativo",X287*8%,"Não liberado"))</f>
        <v>6680</v>
      </c>
    </row>
    <row r="288" spans="1:28">
      <c r="A288" t="s">
        <v>88</v>
      </c>
      <c r="B288" t="str">
        <f t="shared" si="49"/>
        <v>Ativo</v>
      </c>
      <c r="C288" t="str">
        <f t="shared" si="50"/>
        <v>Brienne Mallister</v>
      </c>
      <c r="D288" s="15" t="s">
        <v>710</v>
      </c>
      <c r="E288" s="16" t="s">
        <v>711</v>
      </c>
      <c r="F288" s="16" t="str">
        <f t="shared" si="58"/>
        <v>000.000.202-00</v>
      </c>
      <c r="G288">
        <v>53</v>
      </c>
      <c r="H288">
        <f t="shared" ca="1" si="59"/>
        <v>53</v>
      </c>
      <c r="I288" s="12">
        <v>26840</v>
      </c>
      <c r="J288" t="s">
        <v>712</v>
      </c>
      <c r="K288" t="str">
        <f t="shared" si="51"/>
        <v>Ilha dos Ursos</v>
      </c>
      <c r="M288" t="str" cm="1">
        <f t="array" ref="M288">PROPER(IF(L288&lt;&gt;"",L288,_xlfn.XLOOKUP(1,($K$2:$K$398=K288)*($L$2:$L$398&lt;&gt;""),$L$2:$L$398,"")))</f>
        <v>Norte</v>
      </c>
      <c r="N288">
        <v>9500</v>
      </c>
      <c r="O288">
        <f t="shared" si="60"/>
        <v>9500</v>
      </c>
      <c r="P288" s="14">
        <v>66500</v>
      </c>
      <c r="Q288" s="17">
        <f t="shared" si="52"/>
        <v>66500</v>
      </c>
      <c r="R288" t="s">
        <v>50</v>
      </c>
      <c r="S288" t="str">
        <f t="shared" si="53"/>
        <v>Sim</v>
      </c>
      <c r="T288">
        <v>38</v>
      </c>
      <c r="U288">
        <f t="shared" si="54"/>
        <v>38</v>
      </c>
      <c r="V288" t="s">
        <v>50</v>
      </c>
      <c r="W288">
        <v>42500</v>
      </c>
      <c r="X288">
        <f t="shared" si="55"/>
        <v>42500</v>
      </c>
      <c r="Y288" t="str">
        <f t="shared" si="56"/>
        <v>Alto</v>
      </c>
      <c r="Z288" t="str">
        <f>IF(AND(Y288="Alto",S288="Sim"),"Negada","Aprovada")</f>
        <v>Negada</v>
      </c>
      <c r="AA288" t="str">
        <f t="shared" si="57"/>
        <v>Negada</v>
      </c>
      <c r="AB288" t="str">
        <f>IF(AND(Z288="Negada",AA288="Negada"),"Já foi negado",IF(B288="Ativo",X288*8%,"Não liberado"))</f>
        <v>Já foi negado</v>
      </c>
    </row>
    <row r="289" spans="1:28">
      <c r="A289" t="s">
        <v>88</v>
      </c>
      <c r="B289" t="str">
        <f t="shared" si="49"/>
        <v>Ativo</v>
      </c>
      <c r="C289" t="str">
        <f t="shared" si="50"/>
        <v>Stannis Crakehall</v>
      </c>
      <c r="D289" s="15" t="s">
        <v>713</v>
      </c>
      <c r="E289" s="16" t="s">
        <v>714</v>
      </c>
      <c r="F289" s="16" t="str">
        <f t="shared" si="58"/>
        <v>000.000.351-00</v>
      </c>
      <c r="G289">
        <v>71</v>
      </c>
      <c r="H289">
        <f t="shared" ca="1" si="59"/>
        <v>71</v>
      </c>
      <c r="I289" s="12">
        <v>20275</v>
      </c>
      <c r="J289" t="s">
        <v>113</v>
      </c>
      <c r="K289" t="str">
        <f t="shared" si="51"/>
        <v>Lannisporto</v>
      </c>
      <c r="L289" t="s">
        <v>117</v>
      </c>
      <c r="M289" t="str" cm="1">
        <f t="array" ref="M289">PROPER(IF(L289&lt;&gt;"",L289,_xlfn.XLOOKUP(1,($K$2:$K$398=K289)*($L$2:$L$398&lt;&gt;""),$L$2:$L$398,"")))</f>
        <v>Oeste</v>
      </c>
      <c r="N289">
        <v>14200</v>
      </c>
      <c r="O289">
        <f t="shared" si="60"/>
        <v>14200</v>
      </c>
      <c r="P289">
        <v>51000</v>
      </c>
      <c r="Q289" s="17">
        <f t="shared" si="52"/>
        <v>51000</v>
      </c>
      <c r="R289" t="s">
        <v>49</v>
      </c>
      <c r="S289" t="str">
        <f t="shared" si="53"/>
        <v>Não</v>
      </c>
      <c r="T289">
        <v>10</v>
      </c>
      <c r="U289">
        <f t="shared" si="54"/>
        <v>10</v>
      </c>
      <c r="V289" t="s">
        <v>49</v>
      </c>
      <c r="W289">
        <v>90500</v>
      </c>
      <c r="X289">
        <f t="shared" si="55"/>
        <v>90500</v>
      </c>
      <c r="Y289" t="str">
        <f t="shared" si="56"/>
        <v>Baixo</v>
      </c>
      <c r="Z289" t="str">
        <f>IF(AND(Y289="Alto",S289="Sim"),"Negada","Aprovada")</f>
        <v>Aprovada</v>
      </c>
      <c r="AA289" t="str">
        <f t="shared" si="57"/>
        <v>Aprovada</v>
      </c>
      <c r="AB289">
        <f>IF(AND(Z289="Negada",AA289="Negada"),"Já foi negado",IF(B289="Ativo",X289*8%,"Não liberado"))</f>
        <v>7240</v>
      </c>
    </row>
    <row r="290" spans="1:28">
      <c r="A290" t="s">
        <v>88</v>
      </c>
      <c r="B290" t="str">
        <f t="shared" si="49"/>
        <v>Ativo</v>
      </c>
      <c r="C290" t="str">
        <f t="shared" si="50"/>
        <v>Jorah Marbrand</v>
      </c>
      <c r="D290" s="15" t="s">
        <v>533</v>
      </c>
      <c r="E290" s="16" t="s">
        <v>534</v>
      </c>
      <c r="F290" s="16" t="str">
        <f t="shared" si="58"/>
        <v>000.000.168-00</v>
      </c>
      <c r="G290">
        <v>37</v>
      </c>
      <c r="H290">
        <f t="shared" ca="1" si="59"/>
        <v>37</v>
      </c>
      <c r="I290" s="12">
        <v>32414</v>
      </c>
      <c r="J290" t="s">
        <v>535</v>
      </c>
      <c r="K290" t="str">
        <f t="shared" si="51"/>
        <v>Pedra do Dragão</v>
      </c>
      <c r="M290" t="str" cm="1">
        <f t="array" ref="M290">PROPER(IF(L290&lt;&gt;"",L290,_xlfn.XLOOKUP(1,($K$2:$K$398=K290)*($L$2:$L$398&lt;&gt;""),$L$2:$L$398,"")))</f>
        <v>Terras Da Coroa</v>
      </c>
      <c r="N290">
        <v>12800</v>
      </c>
      <c r="O290">
        <f t="shared" si="60"/>
        <v>12800</v>
      </c>
      <c r="P290">
        <v>76500</v>
      </c>
      <c r="Q290" s="17">
        <f t="shared" si="52"/>
        <v>76500</v>
      </c>
      <c r="R290" t="s">
        <v>49</v>
      </c>
      <c r="S290" t="str">
        <f t="shared" si="53"/>
        <v>Não</v>
      </c>
      <c r="T290" t="s">
        <v>475</v>
      </c>
      <c r="U290">
        <f t="shared" si="54"/>
        <v>30</v>
      </c>
      <c r="V290" t="s">
        <v>49</v>
      </c>
      <c r="W290">
        <v>95000</v>
      </c>
      <c r="X290">
        <f t="shared" si="55"/>
        <v>95000</v>
      </c>
      <c r="Y290" t="str">
        <f t="shared" si="56"/>
        <v>Alto</v>
      </c>
      <c r="Z290" t="str">
        <f>IF(AND(Y290="Alto",S290="Sim"),"Negada","Aprovada")</f>
        <v>Aprovada</v>
      </c>
      <c r="AA290" t="str">
        <f t="shared" si="57"/>
        <v>Aprovada</v>
      </c>
      <c r="AB290">
        <f>IF(AND(Z290="Negada",AA290="Negada"),"Já foi negado",IF(B290="Ativo",X290*8%,"Não liberado"))</f>
        <v>7600</v>
      </c>
    </row>
    <row r="291" spans="1:28">
      <c r="A291" t="s">
        <v>88</v>
      </c>
      <c r="B291" t="str">
        <f t="shared" si="49"/>
        <v>Ativo</v>
      </c>
      <c r="C291" t="str">
        <f t="shared" si="50"/>
        <v>Sansa Dondarrion</v>
      </c>
      <c r="D291" s="15" t="s">
        <v>715</v>
      </c>
      <c r="E291" s="16" t="s">
        <v>716</v>
      </c>
      <c r="F291" s="16" t="str">
        <f t="shared" si="58"/>
        <v>000.000.101-00</v>
      </c>
      <c r="G291">
        <v>22</v>
      </c>
      <c r="H291">
        <f t="shared" ca="1" si="59"/>
        <v>22</v>
      </c>
      <c r="I291" s="12">
        <v>37936</v>
      </c>
      <c r="J291" t="s">
        <v>91</v>
      </c>
      <c r="K291" t="str">
        <f t="shared" si="51"/>
        <v>Ninho da Águia</v>
      </c>
      <c r="L291" t="s">
        <v>110</v>
      </c>
      <c r="M291" t="str" cm="1">
        <f t="array" ref="M291">PROPER(IF(L291&lt;&gt;"",L291,_xlfn.XLOOKUP(1,($K$2:$K$398=K291)*($L$2:$L$398&lt;&gt;""),$L$2:$L$398,"")))</f>
        <v>Vale</v>
      </c>
      <c r="N291" s="14">
        <v>4100</v>
      </c>
      <c r="O291">
        <f t="shared" si="60"/>
        <v>4100</v>
      </c>
      <c r="P291">
        <v>2000</v>
      </c>
      <c r="Q291" s="17">
        <f t="shared" si="52"/>
        <v>2000</v>
      </c>
      <c r="R291" t="s">
        <v>49</v>
      </c>
      <c r="S291" t="str">
        <f t="shared" si="53"/>
        <v>Não</v>
      </c>
      <c r="T291">
        <v>8</v>
      </c>
      <c r="U291">
        <f t="shared" si="54"/>
        <v>8</v>
      </c>
      <c r="V291" t="s">
        <v>49</v>
      </c>
      <c r="W291">
        <v>4000</v>
      </c>
      <c r="X291">
        <f t="shared" si="55"/>
        <v>4000</v>
      </c>
      <c r="Y291" t="str">
        <f t="shared" si="56"/>
        <v>Baixo</v>
      </c>
      <c r="Z291" t="str">
        <f>IF(AND(Y291="Alto",S291="Sim"),"Negada","Aprovada")</f>
        <v>Aprovada</v>
      </c>
      <c r="AA291" t="str">
        <f t="shared" si="57"/>
        <v>Aprovada</v>
      </c>
      <c r="AB291">
        <f>IF(AND(Z291="Negada",AA291="Negada"),"Já foi negado",IF(B291="Ativo",X291*8%,"Não liberado"))</f>
        <v>320</v>
      </c>
    </row>
    <row r="292" spans="1:28">
      <c r="A292" t="s">
        <v>88</v>
      </c>
      <c r="B292" t="str">
        <f t="shared" si="49"/>
        <v>Ativo</v>
      </c>
      <c r="C292" t="str">
        <f t="shared" si="50"/>
        <v>Beric  Karstark</v>
      </c>
      <c r="D292" s="15" t="s">
        <v>717</v>
      </c>
      <c r="E292" s="16" t="s">
        <v>718</v>
      </c>
      <c r="F292" s="16" t="str">
        <f t="shared" si="58"/>
        <v>000.000.172-00</v>
      </c>
      <c r="G292">
        <v>37</v>
      </c>
      <c r="H292">
        <f t="shared" ca="1" si="59"/>
        <v>37</v>
      </c>
      <c r="I292" s="12">
        <v>32680</v>
      </c>
      <c r="J292" t="s">
        <v>136</v>
      </c>
      <c r="K292" t="str">
        <f t="shared" si="51"/>
        <v>Braavos</v>
      </c>
      <c r="L292" t="s">
        <v>131</v>
      </c>
      <c r="M292" t="str" cm="1">
        <f t="array" ref="M292">PROPER(IF(L292&lt;&gt;"",L292,_xlfn.XLOOKUP(1,($K$2:$K$398=K292)*($L$2:$L$398&lt;&gt;""),$L$2:$L$398,"")))</f>
        <v>Essos</v>
      </c>
      <c r="N292">
        <v>28900</v>
      </c>
      <c r="O292">
        <f t="shared" si="60"/>
        <v>28900</v>
      </c>
      <c r="P292">
        <v>71000</v>
      </c>
      <c r="Q292" s="17">
        <f t="shared" si="52"/>
        <v>71000</v>
      </c>
      <c r="R292" t="s">
        <v>49</v>
      </c>
      <c r="S292" t="str">
        <f t="shared" si="53"/>
        <v>Não</v>
      </c>
      <c r="T292">
        <v>28</v>
      </c>
      <c r="U292">
        <f t="shared" si="54"/>
        <v>28</v>
      </c>
      <c r="V292" t="s">
        <v>49</v>
      </c>
      <c r="W292">
        <v>36500</v>
      </c>
      <c r="X292">
        <f t="shared" si="55"/>
        <v>36500</v>
      </c>
      <c r="Y292" t="str">
        <f t="shared" si="56"/>
        <v>Alto</v>
      </c>
      <c r="Z292" t="str">
        <f>IF(AND(Y292="Alto",S292="Sim"),"Negada","Aprovada")</f>
        <v>Aprovada</v>
      </c>
      <c r="AA292" t="str">
        <f t="shared" si="57"/>
        <v>Aprovada</v>
      </c>
      <c r="AB292">
        <f>IF(AND(Z292="Negada",AA292="Negada"),"Já foi negado",IF(B292="Ativo",X292*8%,"Não liberado"))</f>
        <v>2920</v>
      </c>
    </row>
    <row r="293" spans="1:28">
      <c r="A293" t="s">
        <v>88</v>
      </c>
      <c r="B293" t="str">
        <f t="shared" si="49"/>
        <v>Ativo</v>
      </c>
      <c r="C293" t="str">
        <f t="shared" si="50"/>
        <v>Bran Umber</v>
      </c>
      <c r="D293" s="15" t="s">
        <v>719</v>
      </c>
      <c r="E293" s="16">
        <v>13200</v>
      </c>
      <c r="F293" s="16" t="str">
        <f t="shared" si="58"/>
        <v>000.000.132-00</v>
      </c>
      <c r="G293">
        <v>29</v>
      </c>
      <c r="H293">
        <f t="shared" ca="1" si="59"/>
        <v>29</v>
      </c>
      <c r="I293" s="12">
        <v>35334</v>
      </c>
      <c r="J293" t="s">
        <v>121</v>
      </c>
      <c r="K293" t="str">
        <f t="shared" si="51"/>
        <v>Pyke</v>
      </c>
      <c r="L293" t="s">
        <v>141</v>
      </c>
      <c r="M293" t="str" cm="1">
        <f t="array" ref="M293">PROPER(IF(L293&lt;&gt;"",L293,_xlfn.XLOOKUP(1,($K$2:$K$398=K293)*($L$2:$L$398&lt;&gt;""),$L$2:$L$398,"")))</f>
        <v>Ilhas De Ferro</v>
      </c>
      <c r="N293">
        <v>19500</v>
      </c>
      <c r="O293">
        <f t="shared" si="60"/>
        <v>19500</v>
      </c>
      <c r="P293" s="13">
        <v>57000</v>
      </c>
      <c r="Q293" s="17">
        <f t="shared" si="52"/>
        <v>57000</v>
      </c>
      <c r="R293" t="s">
        <v>49</v>
      </c>
      <c r="S293" t="str">
        <f t="shared" si="53"/>
        <v>Não</v>
      </c>
      <c r="T293">
        <v>12</v>
      </c>
      <c r="U293">
        <f t="shared" si="54"/>
        <v>12</v>
      </c>
      <c r="V293" t="s">
        <v>49</v>
      </c>
      <c r="W293">
        <v>20500</v>
      </c>
      <c r="X293">
        <f t="shared" si="55"/>
        <v>20500</v>
      </c>
      <c r="Y293" t="str">
        <f t="shared" si="56"/>
        <v>Médio</v>
      </c>
      <c r="Z293" t="str">
        <f>IF(AND(Y293="Alto",S293="Sim"),"Negada","Aprovada")</f>
        <v>Aprovada</v>
      </c>
      <c r="AA293" t="str">
        <f t="shared" si="57"/>
        <v>Aprovada</v>
      </c>
      <c r="AB293">
        <f>IF(AND(Z293="Negada",AA293="Negada"),"Já foi negado",IF(B293="Ativo",X293*8%,"Não liberado"))</f>
        <v>1640</v>
      </c>
    </row>
    <row r="294" spans="1:28">
      <c r="A294" t="s">
        <v>88</v>
      </c>
      <c r="B294" t="str">
        <f t="shared" si="49"/>
        <v>Ativo</v>
      </c>
      <c r="C294" t="str">
        <f t="shared" si="50"/>
        <v>Thoros Yronwood</v>
      </c>
      <c r="D294" s="15" t="s">
        <v>498</v>
      </c>
      <c r="E294" s="16" t="s">
        <v>720</v>
      </c>
      <c r="F294" s="16" t="str">
        <f t="shared" si="58"/>
        <v>000.000.104-00</v>
      </c>
      <c r="G294">
        <v>51</v>
      </c>
      <c r="H294">
        <f t="shared" ca="1" si="59"/>
        <v>51</v>
      </c>
      <c r="I294" s="12">
        <v>27421</v>
      </c>
      <c r="J294" t="s">
        <v>193</v>
      </c>
      <c r="K294" t="str">
        <f t="shared" si="51"/>
        <v>Dorne</v>
      </c>
      <c r="L294" t="s">
        <v>193</v>
      </c>
      <c r="M294" t="str" cm="1">
        <f t="array" ref="M294">PROPER(IF(L294&lt;&gt;"",L294,_xlfn.XLOOKUP(1,($K$2:$K$398=K294)*($L$2:$L$398&lt;&gt;""),$L$2:$L$398,"")))</f>
        <v>Dorne</v>
      </c>
      <c r="N294">
        <v>26000</v>
      </c>
      <c r="O294">
        <f t="shared" si="60"/>
        <v>26000</v>
      </c>
      <c r="P294">
        <v>47500</v>
      </c>
      <c r="Q294" s="17">
        <f t="shared" si="52"/>
        <v>47500</v>
      </c>
      <c r="R294" t="s">
        <v>49</v>
      </c>
      <c r="S294" t="str">
        <f t="shared" si="53"/>
        <v>Não</v>
      </c>
      <c r="T294">
        <v>45</v>
      </c>
      <c r="U294">
        <f t="shared" si="54"/>
        <v>45</v>
      </c>
      <c r="V294" t="s">
        <v>49</v>
      </c>
      <c r="W294">
        <v>60500</v>
      </c>
      <c r="X294">
        <f t="shared" si="55"/>
        <v>60500</v>
      </c>
      <c r="Y294" t="str">
        <f t="shared" si="56"/>
        <v>Alto</v>
      </c>
      <c r="Z294" t="str">
        <f>IF(AND(Y294="Alto",S294="Sim"),"Negada","Aprovada")</f>
        <v>Aprovada</v>
      </c>
      <c r="AA294" t="str">
        <f t="shared" si="57"/>
        <v>Aprovada</v>
      </c>
      <c r="AB294">
        <f>IF(AND(Z294="Negada",AA294="Negada"),"Já foi negado",IF(B294="Ativo",X294*8%,"Não liberado"))</f>
        <v>4840</v>
      </c>
    </row>
    <row r="295" spans="1:28">
      <c r="A295" t="s">
        <v>93</v>
      </c>
      <c r="B295" t="str">
        <f t="shared" si="49"/>
        <v>Inativo</v>
      </c>
      <c r="C295" t="str">
        <f t="shared" si="50"/>
        <v>Davos Umber</v>
      </c>
      <c r="D295" s="15" t="s">
        <v>721</v>
      </c>
      <c r="E295" s="16" t="s">
        <v>722</v>
      </c>
      <c r="F295" s="16" t="str">
        <f t="shared" si="58"/>
        <v>000.000.353-00</v>
      </c>
      <c r="G295">
        <v>74</v>
      </c>
      <c r="H295">
        <f t="shared" ca="1" si="59"/>
        <v>74</v>
      </c>
      <c r="I295" s="12">
        <v>19047</v>
      </c>
      <c r="J295" t="s">
        <v>113</v>
      </c>
      <c r="K295" t="str">
        <f t="shared" si="51"/>
        <v>Lannisporto</v>
      </c>
      <c r="L295" t="s">
        <v>117</v>
      </c>
      <c r="M295" t="str" cm="1">
        <f t="array" ref="M295">PROPER(IF(L295&lt;&gt;"",L295,_xlfn.XLOOKUP(1,($K$2:$K$398=K295)*($L$2:$L$398&lt;&gt;""),$L$2:$L$398,"")))</f>
        <v>Oeste</v>
      </c>
      <c r="N295">
        <v>24000</v>
      </c>
      <c r="O295">
        <f t="shared" si="60"/>
        <v>24000</v>
      </c>
      <c r="P295">
        <v>35000</v>
      </c>
      <c r="Q295" s="17">
        <f t="shared" si="52"/>
        <v>35000</v>
      </c>
      <c r="R295" t="s">
        <v>49</v>
      </c>
      <c r="S295" t="str">
        <f t="shared" si="53"/>
        <v>Não</v>
      </c>
      <c r="T295" t="s">
        <v>723</v>
      </c>
      <c r="U295">
        <f t="shared" si="54"/>
        <v>6</v>
      </c>
      <c r="V295" t="s">
        <v>49</v>
      </c>
      <c r="W295">
        <v>29500</v>
      </c>
      <c r="X295">
        <f t="shared" si="55"/>
        <v>29500</v>
      </c>
      <c r="Y295" t="str">
        <f t="shared" si="56"/>
        <v>Baixo</v>
      </c>
      <c r="Z295" t="str">
        <f>IF(AND(Y295="Alto",S295="Sim"),"Negada","Aprovada")</f>
        <v>Aprovada</v>
      </c>
      <c r="AA295" t="str">
        <f t="shared" si="57"/>
        <v>Aprovada</v>
      </c>
      <c r="AB295" t="str">
        <f>IF(AND(Z295="Negada",AA295="Negada"),"Já foi negado",IF(B295="Ativo",X295*8%,"Não liberado"))</f>
        <v>Não liberado</v>
      </c>
    </row>
    <row r="296" spans="1:28">
      <c r="A296" t="s">
        <v>88</v>
      </c>
      <c r="B296" t="str">
        <f t="shared" si="49"/>
        <v>Ativo</v>
      </c>
      <c r="C296" t="str">
        <f t="shared" si="50"/>
        <v>Aegon Redwyne</v>
      </c>
      <c r="D296" s="15" t="s">
        <v>724</v>
      </c>
      <c r="E296" s="16" t="s">
        <v>725</v>
      </c>
      <c r="F296" s="16" t="str">
        <f t="shared" si="58"/>
        <v>000.000.347-00</v>
      </c>
      <c r="G296">
        <v>19</v>
      </c>
      <c r="H296">
        <f t="shared" ca="1" si="59"/>
        <v>19</v>
      </c>
      <c r="I296" s="12">
        <v>39016</v>
      </c>
      <c r="J296" t="s">
        <v>121</v>
      </c>
      <c r="K296" t="str">
        <f t="shared" si="51"/>
        <v>Pyke</v>
      </c>
      <c r="L296" t="s">
        <v>274</v>
      </c>
      <c r="M296" t="str" cm="1">
        <f t="array" ref="M296">PROPER(IF(L296&lt;&gt;"",L296,_xlfn.XLOOKUP(1,($K$2:$K$398=K296)*($L$2:$L$398&lt;&gt;""),$L$2:$L$398,"")))</f>
        <v>Ilhas De Ferro</v>
      </c>
      <c r="N296" s="14">
        <v>14900</v>
      </c>
      <c r="O296">
        <f t="shared" si="60"/>
        <v>14900</v>
      </c>
      <c r="P296">
        <v>17000</v>
      </c>
      <c r="Q296" s="17">
        <f t="shared" si="52"/>
        <v>17000</v>
      </c>
      <c r="R296" t="s">
        <v>49</v>
      </c>
      <c r="S296" t="str">
        <f t="shared" si="53"/>
        <v>Não</v>
      </c>
      <c r="T296">
        <v>20</v>
      </c>
      <c r="U296">
        <f t="shared" si="54"/>
        <v>20</v>
      </c>
      <c r="V296" t="s">
        <v>49</v>
      </c>
      <c r="W296">
        <v>29500</v>
      </c>
      <c r="X296">
        <f t="shared" si="55"/>
        <v>29500</v>
      </c>
      <c r="Y296" t="str">
        <f t="shared" si="56"/>
        <v>Médio</v>
      </c>
      <c r="Z296" t="str">
        <f>IF(AND(Y296="Alto",S296="Sim"),"Negada","Aprovada")</f>
        <v>Aprovada</v>
      </c>
      <c r="AA296" t="str">
        <f t="shared" si="57"/>
        <v>Aprovada</v>
      </c>
      <c r="AB296">
        <f>IF(AND(Z296="Negada",AA296="Negada"),"Já foi negado",IF(B296="Ativo",X296*8%,"Não liberado"))</f>
        <v>2360</v>
      </c>
    </row>
    <row r="297" spans="1:28">
      <c r="A297" t="s">
        <v>93</v>
      </c>
      <c r="B297" t="str">
        <f t="shared" si="49"/>
        <v>Inativo</v>
      </c>
      <c r="C297" t="str">
        <f t="shared" si="50"/>
        <v>Robert Mallister</v>
      </c>
      <c r="D297" s="15" t="s">
        <v>726</v>
      </c>
      <c r="E297" s="16">
        <v>32700</v>
      </c>
      <c r="F297" s="16" t="str">
        <f t="shared" si="58"/>
        <v>000.000.327-00</v>
      </c>
      <c r="G297">
        <v>57</v>
      </c>
      <c r="H297">
        <f t="shared" ca="1" si="59"/>
        <v>57</v>
      </c>
      <c r="I297" s="12">
        <v>25369</v>
      </c>
      <c r="J297" t="s">
        <v>136</v>
      </c>
      <c r="K297" t="str">
        <f t="shared" si="51"/>
        <v>Braavos</v>
      </c>
      <c r="L297" t="s">
        <v>267</v>
      </c>
      <c r="M297" t="str" cm="1">
        <f t="array" ref="M297">PROPER(IF(L297&lt;&gt;"",L297,_xlfn.XLOOKUP(1,($K$2:$K$398=K297)*($L$2:$L$398&lt;&gt;""),$L$2:$L$398,"")))</f>
        <v>Essos</v>
      </c>
      <c r="N297">
        <v>28600</v>
      </c>
      <c r="O297">
        <f t="shared" si="60"/>
        <v>28600</v>
      </c>
      <c r="P297" s="13">
        <v>73500</v>
      </c>
      <c r="Q297" s="17">
        <f t="shared" si="52"/>
        <v>73500</v>
      </c>
      <c r="R297" t="s">
        <v>49</v>
      </c>
      <c r="S297" t="str">
        <f t="shared" si="53"/>
        <v>Não</v>
      </c>
      <c r="T297">
        <v>29</v>
      </c>
      <c r="U297">
        <f t="shared" si="54"/>
        <v>29</v>
      </c>
      <c r="V297" t="s">
        <v>49</v>
      </c>
      <c r="W297">
        <v>93500</v>
      </c>
      <c r="X297">
        <f t="shared" si="55"/>
        <v>93500</v>
      </c>
      <c r="Y297" t="str">
        <f t="shared" si="56"/>
        <v>Alto</v>
      </c>
      <c r="Z297" t="str">
        <f>IF(AND(Y297="Alto",S297="Sim"),"Negada","Aprovada")</f>
        <v>Aprovada</v>
      </c>
      <c r="AA297" t="str">
        <f t="shared" si="57"/>
        <v>Aprovada</v>
      </c>
      <c r="AB297" t="str">
        <f>IF(AND(Z297="Negada",AA297="Negada"),"Já foi negado",IF(B297="Ativo",X297*8%,"Não liberado"))</f>
        <v>Não liberado</v>
      </c>
    </row>
    <row r="298" spans="1:28">
      <c r="A298" t="s">
        <v>93</v>
      </c>
      <c r="B298" t="str">
        <f t="shared" si="49"/>
        <v>Inativo</v>
      </c>
      <c r="C298" t="str">
        <f t="shared" si="50"/>
        <v>Margaery Dondarrion</v>
      </c>
      <c r="D298" s="15" t="s">
        <v>727</v>
      </c>
      <c r="E298" s="16">
        <v>19200</v>
      </c>
      <c r="F298" s="16" t="str">
        <f t="shared" si="58"/>
        <v>000.000.192-00</v>
      </c>
      <c r="G298">
        <v>50</v>
      </c>
      <c r="H298">
        <f t="shared" ca="1" si="59"/>
        <v>50</v>
      </c>
      <c r="I298" s="12">
        <v>27833</v>
      </c>
      <c r="J298" t="s">
        <v>548</v>
      </c>
      <c r="K298" t="str">
        <f t="shared" si="51"/>
        <v>Correrrio</v>
      </c>
      <c r="M298" t="str" cm="1">
        <f t="array" ref="M298">PROPER(IF(L298&lt;&gt;"",L298,_xlfn.XLOOKUP(1,($K$2:$K$398=K298)*($L$2:$L$398&lt;&gt;""),$L$2:$L$398,"")))</f>
        <v>Terras Fluviais</v>
      </c>
      <c r="N298">
        <v>16200</v>
      </c>
      <c r="O298">
        <f t="shared" si="60"/>
        <v>16200</v>
      </c>
      <c r="P298" s="13">
        <v>25000</v>
      </c>
      <c r="Q298" s="17">
        <f t="shared" si="52"/>
        <v>25000</v>
      </c>
      <c r="R298" t="s">
        <v>49</v>
      </c>
      <c r="S298" t="str">
        <f t="shared" si="53"/>
        <v>Não</v>
      </c>
      <c r="T298">
        <v>26</v>
      </c>
      <c r="U298">
        <f t="shared" si="54"/>
        <v>26</v>
      </c>
      <c r="V298" t="s">
        <v>49</v>
      </c>
      <c r="W298">
        <v>65000</v>
      </c>
      <c r="X298">
        <f t="shared" si="55"/>
        <v>65000</v>
      </c>
      <c r="Y298" t="str">
        <f t="shared" si="56"/>
        <v>Alto</v>
      </c>
      <c r="Z298" t="str">
        <f>IF(AND(Y298="Alto",S298="Sim"),"Negada","Aprovada")</f>
        <v>Aprovada</v>
      </c>
      <c r="AA298" t="str">
        <f t="shared" si="57"/>
        <v>Aprovada</v>
      </c>
      <c r="AB298" t="str">
        <f>IF(AND(Z298="Negada",AA298="Negada"),"Já foi negado",IF(B298="Ativo",X298*8%,"Não liberado"))</f>
        <v>Não liberado</v>
      </c>
    </row>
    <row r="299" spans="1:28">
      <c r="A299" t="s">
        <v>88</v>
      </c>
      <c r="B299" t="str">
        <f t="shared" si="49"/>
        <v>Ativo</v>
      </c>
      <c r="C299" t="str">
        <f t="shared" si="50"/>
        <v>Robert Hornwood</v>
      </c>
      <c r="D299" s="15" t="s">
        <v>451</v>
      </c>
      <c r="E299" s="16">
        <v>28500</v>
      </c>
      <c r="F299" s="16" t="str">
        <f t="shared" si="58"/>
        <v>000.000.285-00</v>
      </c>
      <c r="G299" t="s">
        <v>728</v>
      </c>
      <c r="H299">
        <f t="shared" ca="1" si="59"/>
        <v>41</v>
      </c>
      <c r="I299" s="12">
        <v>31115</v>
      </c>
      <c r="J299" t="s">
        <v>150</v>
      </c>
      <c r="K299" t="str">
        <f t="shared" si="51"/>
        <v>Castelo Negro</v>
      </c>
      <c r="L299" t="s">
        <v>151</v>
      </c>
      <c r="M299" t="str" cm="1">
        <f t="array" ref="M299">PROPER(IF(L299&lt;&gt;"",L299,_xlfn.XLOOKUP(1,($K$2:$K$398=K299)*($L$2:$L$398&lt;&gt;""),$L$2:$L$398,"")))</f>
        <v>Norte</v>
      </c>
      <c r="N299">
        <v>23100</v>
      </c>
      <c r="O299">
        <f t="shared" si="60"/>
        <v>23100</v>
      </c>
      <c r="P299">
        <v>36000</v>
      </c>
      <c r="Q299" s="17">
        <f t="shared" si="52"/>
        <v>36000</v>
      </c>
      <c r="R299" t="s">
        <v>49</v>
      </c>
      <c r="S299" t="str">
        <f t="shared" si="53"/>
        <v>Não</v>
      </c>
      <c r="T299">
        <v>19</v>
      </c>
      <c r="U299">
        <f t="shared" si="54"/>
        <v>19</v>
      </c>
      <c r="V299" t="s">
        <v>49</v>
      </c>
      <c r="W299">
        <v>37500</v>
      </c>
      <c r="X299">
        <f t="shared" si="55"/>
        <v>37500</v>
      </c>
      <c r="Y299" t="str">
        <f t="shared" si="56"/>
        <v>Médio</v>
      </c>
      <c r="Z299" t="str">
        <f>IF(AND(Y299="Alto",S299="Sim"),"Negada","Aprovada")</f>
        <v>Aprovada</v>
      </c>
      <c r="AA299" t="str">
        <f t="shared" si="57"/>
        <v>Aprovada</v>
      </c>
      <c r="AB299">
        <f>IF(AND(Z299="Negada",AA299="Negada"),"Já foi negado",IF(B299="Ativo",X299*8%,"Não liberado"))</f>
        <v>3000</v>
      </c>
    </row>
    <row r="300" spans="1:28">
      <c r="A300" t="s">
        <v>88</v>
      </c>
      <c r="B300" t="str">
        <f t="shared" si="49"/>
        <v>Ativo</v>
      </c>
      <c r="C300" t="str">
        <f t="shared" si="50"/>
        <v>Roose Bolton</v>
      </c>
      <c r="D300" s="15" t="s">
        <v>729</v>
      </c>
      <c r="E300" s="16">
        <v>13700</v>
      </c>
      <c r="F300" s="16" t="str">
        <f t="shared" si="58"/>
        <v>000.000.137-00</v>
      </c>
      <c r="G300">
        <v>73</v>
      </c>
      <c r="H300">
        <f t="shared" ca="1" si="59"/>
        <v>73</v>
      </c>
      <c r="I300" s="12">
        <v>19323</v>
      </c>
      <c r="J300" t="s">
        <v>254</v>
      </c>
      <c r="K300" t="str">
        <f t="shared" si="51"/>
        <v>Atalaia da �gua Cinzenta</v>
      </c>
      <c r="L300" t="s">
        <v>465</v>
      </c>
      <c r="M300" t="str" cm="1">
        <f t="array" ref="M300">PROPER(IF(L300&lt;&gt;"",L300,_xlfn.XLOOKUP(1,($K$2:$K$398=K300)*($L$2:$L$398&lt;&gt;""),$L$2:$L$398,"")))</f>
        <v>Gargalo</v>
      </c>
      <c r="N300">
        <v>18100</v>
      </c>
      <c r="O300">
        <f t="shared" si="60"/>
        <v>18100</v>
      </c>
      <c r="P300">
        <v>0</v>
      </c>
      <c r="Q300" s="17">
        <f t="shared" si="52"/>
        <v>0</v>
      </c>
      <c r="R300" t="s">
        <v>49</v>
      </c>
      <c r="S300" t="str">
        <f t="shared" si="53"/>
        <v>Não</v>
      </c>
      <c r="T300">
        <v>36</v>
      </c>
      <c r="U300">
        <f t="shared" si="54"/>
        <v>36</v>
      </c>
      <c r="V300" t="s">
        <v>49</v>
      </c>
      <c r="W300">
        <v>89000</v>
      </c>
      <c r="X300">
        <f t="shared" si="55"/>
        <v>89000</v>
      </c>
      <c r="Y300" t="str">
        <f t="shared" si="56"/>
        <v>Alto</v>
      </c>
      <c r="Z300" t="str">
        <f>IF(AND(Y300="Alto",S300="Sim"),"Negada","Aprovada")</f>
        <v>Aprovada</v>
      </c>
      <c r="AA300" t="str">
        <f t="shared" si="57"/>
        <v>Aprovada</v>
      </c>
      <c r="AB300">
        <f>IF(AND(Z300="Negada",AA300="Negada"),"Já foi negado",IF(B300="Ativo",X300*8%,"Não liberado"))</f>
        <v>7120</v>
      </c>
    </row>
    <row r="301" spans="1:28">
      <c r="A301" t="s">
        <v>183</v>
      </c>
      <c r="B301" t="str">
        <f t="shared" si="49"/>
        <v>Ativo</v>
      </c>
      <c r="C301" t="str">
        <f t="shared" si="50"/>
        <v>Jon Hornwood</v>
      </c>
      <c r="D301" s="15" t="s">
        <v>730</v>
      </c>
      <c r="E301" s="16">
        <v>33100</v>
      </c>
      <c r="F301" s="16" t="str">
        <f t="shared" si="58"/>
        <v>000.000.331-00</v>
      </c>
      <c r="H301">
        <f t="shared" ca="1" si="59"/>
        <v>26</v>
      </c>
      <c r="I301" s="12">
        <v>36759</v>
      </c>
      <c r="J301" t="s">
        <v>193</v>
      </c>
      <c r="K301" t="str">
        <f t="shared" si="51"/>
        <v>Dorne</v>
      </c>
      <c r="L301" t="s">
        <v>193</v>
      </c>
      <c r="M301" t="str" cm="1">
        <f t="array" ref="M301">PROPER(IF(L301&lt;&gt;"",L301,_xlfn.XLOOKUP(1,($K$2:$K$398=K301)*($L$2:$L$398&lt;&gt;""),$L$2:$L$398,"")))</f>
        <v>Dorne</v>
      </c>
      <c r="N301">
        <v>23200</v>
      </c>
      <c r="O301">
        <f t="shared" si="60"/>
        <v>23200</v>
      </c>
      <c r="P301">
        <v>54500</v>
      </c>
      <c r="Q301" s="17">
        <f t="shared" si="52"/>
        <v>54500</v>
      </c>
      <c r="R301">
        <v>1</v>
      </c>
      <c r="S301" t="str">
        <f t="shared" si="53"/>
        <v>Sim</v>
      </c>
      <c r="T301">
        <v>26</v>
      </c>
      <c r="U301">
        <f t="shared" si="54"/>
        <v>26</v>
      </c>
      <c r="V301">
        <v>1</v>
      </c>
      <c r="W301">
        <v>75000</v>
      </c>
      <c r="X301">
        <f t="shared" si="55"/>
        <v>75000</v>
      </c>
      <c r="Y301" t="str">
        <f t="shared" si="56"/>
        <v>Alto</v>
      </c>
      <c r="Z301" t="str">
        <f>IF(AND(Y301="Alto",S301="Sim"),"Negada","Aprovada")</f>
        <v>Negada</v>
      </c>
      <c r="AA301" t="str">
        <f t="shared" si="57"/>
        <v>Negada</v>
      </c>
      <c r="AB301" t="str">
        <f>IF(AND(Z301="Negada",AA301="Negada"),"Já foi negado",IF(B301="Ativo",X301*8%,"Não liberado"))</f>
        <v>Já foi negado</v>
      </c>
    </row>
    <row r="302" spans="1:28">
      <c r="A302" t="s">
        <v>88</v>
      </c>
      <c r="B302" t="str">
        <f t="shared" si="49"/>
        <v>Ativo</v>
      </c>
      <c r="C302" t="str">
        <f t="shared" si="50"/>
        <v>Shae  Dayne</v>
      </c>
      <c r="D302" s="15" t="s">
        <v>731</v>
      </c>
      <c r="E302" s="16" t="s">
        <v>732</v>
      </c>
      <c r="F302" s="16" t="str">
        <f t="shared" si="58"/>
        <v>000.000.312-00</v>
      </c>
      <c r="G302">
        <v>25</v>
      </c>
      <c r="H302">
        <f t="shared" ca="1" si="59"/>
        <v>25</v>
      </c>
      <c r="I302" s="12">
        <v>36792</v>
      </c>
      <c r="J302" t="s">
        <v>91</v>
      </c>
      <c r="K302" t="str">
        <f t="shared" si="51"/>
        <v>Ninho da Águia</v>
      </c>
      <c r="L302" t="s">
        <v>92</v>
      </c>
      <c r="M302" t="str" cm="1">
        <f t="array" ref="M302">PROPER(IF(L302&lt;&gt;"",L302,_xlfn.XLOOKUP(1,($K$2:$K$398=K302)*($L$2:$L$398&lt;&gt;""),$L$2:$L$398,"")))</f>
        <v>Vale</v>
      </c>
      <c r="N302">
        <v>22100</v>
      </c>
      <c r="O302">
        <f t="shared" si="60"/>
        <v>22100</v>
      </c>
      <c r="P302">
        <v>30500</v>
      </c>
      <c r="Q302" s="17">
        <f t="shared" si="52"/>
        <v>30500</v>
      </c>
      <c r="R302" t="s">
        <v>49</v>
      </c>
      <c r="S302" t="str">
        <f t="shared" si="53"/>
        <v>Não</v>
      </c>
      <c r="T302" t="s">
        <v>278</v>
      </c>
      <c r="U302">
        <f t="shared" si="54"/>
        <v>28</v>
      </c>
      <c r="V302" t="s">
        <v>49</v>
      </c>
      <c r="W302">
        <v>48000</v>
      </c>
      <c r="X302">
        <f t="shared" si="55"/>
        <v>48000</v>
      </c>
      <c r="Y302" t="str">
        <f t="shared" si="56"/>
        <v>Alto</v>
      </c>
      <c r="Z302" t="str">
        <f>IF(AND(Y302="Alto",S302="Sim"),"Negada","Aprovada")</f>
        <v>Aprovada</v>
      </c>
      <c r="AA302" t="str">
        <f t="shared" si="57"/>
        <v>Aprovada</v>
      </c>
      <c r="AB302">
        <f>IF(AND(Z302="Negada",AA302="Negada"),"Já foi negado",IF(B302="Ativo",X302*8%,"Não liberado"))</f>
        <v>3840</v>
      </c>
    </row>
    <row r="303" spans="1:28">
      <c r="A303" t="s">
        <v>88</v>
      </c>
      <c r="B303" t="str">
        <f t="shared" si="49"/>
        <v>Ativo</v>
      </c>
      <c r="C303" t="str">
        <f t="shared" si="50"/>
        <v>Petyr Swyft</v>
      </c>
      <c r="D303" s="15" t="s">
        <v>733</v>
      </c>
      <c r="E303" s="16" t="s">
        <v>734</v>
      </c>
      <c r="F303" s="16" t="str">
        <f t="shared" si="58"/>
        <v>000.000.275-00</v>
      </c>
      <c r="G303">
        <v>36</v>
      </c>
      <c r="H303">
        <f t="shared" ca="1" si="59"/>
        <v>36</v>
      </c>
      <c r="I303" s="12">
        <v>33117</v>
      </c>
      <c r="J303" t="s">
        <v>254</v>
      </c>
      <c r="K303" t="str">
        <f t="shared" si="51"/>
        <v>Atalaia da �gua Cinzenta</v>
      </c>
      <c r="L303" t="s">
        <v>465</v>
      </c>
      <c r="M303" t="str" cm="1">
        <f t="array" ref="M303">PROPER(IF(L303&lt;&gt;"",L303,_xlfn.XLOOKUP(1,($K$2:$K$398=K303)*($L$2:$L$398&lt;&gt;""),$L$2:$L$398,"")))</f>
        <v>Gargalo</v>
      </c>
      <c r="N303">
        <v>11600</v>
      </c>
      <c r="O303">
        <f t="shared" si="60"/>
        <v>11600</v>
      </c>
      <c r="P303">
        <v>78500</v>
      </c>
      <c r="Q303" s="17">
        <f t="shared" si="52"/>
        <v>78500</v>
      </c>
      <c r="R303" t="s">
        <v>49</v>
      </c>
      <c r="S303" t="str">
        <f t="shared" si="53"/>
        <v>Não</v>
      </c>
      <c r="T303">
        <v>1</v>
      </c>
      <c r="U303">
        <f t="shared" si="54"/>
        <v>1</v>
      </c>
      <c r="V303" t="s">
        <v>49</v>
      </c>
      <c r="W303">
        <v>42000</v>
      </c>
      <c r="X303">
        <f t="shared" si="55"/>
        <v>42000</v>
      </c>
      <c r="Y303" t="str">
        <f t="shared" si="56"/>
        <v>Baixo</v>
      </c>
      <c r="Z303" t="str">
        <f>IF(AND(Y303="Alto",S303="Sim"),"Negada","Aprovada")</f>
        <v>Aprovada</v>
      </c>
      <c r="AA303" t="str">
        <f t="shared" si="57"/>
        <v>Aprovada</v>
      </c>
      <c r="AB303">
        <f>IF(AND(Z303="Negada",AA303="Negada"),"Já foi negado",IF(B303="Ativo",X303*8%,"Não liberado"))</f>
        <v>3360</v>
      </c>
    </row>
    <row r="304" spans="1:28">
      <c r="A304" t="s">
        <v>93</v>
      </c>
      <c r="B304" t="str">
        <f t="shared" si="49"/>
        <v>Inativo</v>
      </c>
      <c r="C304" t="str">
        <f t="shared" si="50"/>
        <v>Jaime Bracken</v>
      </c>
      <c r="D304" s="15" t="s">
        <v>735</v>
      </c>
      <c r="E304" s="16">
        <v>16600</v>
      </c>
      <c r="F304" s="16" t="str">
        <f t="shared" si="58"/>
        <v>000.000.166-00</v>
      </c>
      <c r="G304">
        <v>35</v>
      </c>
      <c r="H304">
        <f t="shared" ca="1" si="59"/>
        <v>35</v>
      </c>
      <c r="I304" s="12">
        <v>33417</v>
      </c>
      <c r="J304" t="s">
        <v>182</v>
      </c>
      <c r="K304" t="str">
        <f t="shared" si="51"/>
        <v>Jardim de Cima</v>
      </c>
      <c r="L304" t="s">
        <v>227</v>
      </c>
      <c r="M304" t="str" cm="1">
        <f t="array" ref="M304">PROPER(IF(L304&lt;&gt;"",L304,_xlfn.XLOOKUP(1,($K$2:$K$398=K304)*($L$2:$L$398&lt;&gt;""),$L$2:$L$398,"")))</f>
        <v>Campina</v>
      </c>
      <c r="N304" s="13">
        <v>12400</v>
      </c>
      <c r="O304">
        <f t="shared" si="60"/>
        <v>12400</v>
      </c>
      <c r="P304">
        <v>0</v>
      </c>
      <c r="Q304" s="17">
        <f t="shared" si="52"/>
        <v>0</v>
      </c>
      <c r="R304" t="s">
        <v>49</v>
      </c>
      <c r="S304" t="str">
        <f t="shared" si="53"/>
        <v>Não</v>
      </c>
      <c r="T304">
        <v>3</v>
      </c>
      <c r="U304">
        <f t="shared" si="54"/>
        <v>3</v>
      </c>
      <c r="V304" t="s">
        <v>49</v>
      </c>
      <c r="W304">
        <v>83500</v>
      </c>
      <c r="X304">
        <f t="shared" si="55"/>
        <v>83500</v>
      </c>
      <c r="Y304" t="str">
        <f t="shared" si="56"/>
        <v>Baixo</v>
      </c>
      <c r="Z304" t="str">
        <f>IF(AND(Y304="Alto",S304="Sim"),"Negada","Aprovada")</f>
        <v>Aprovada</v>
      </c>
      <c r="AA304" t="str">
        <f t="shared" si="57"/>
        <v>Aprovada</v>
      </c>
      <c r="AB304" t="str">
        <f>IF(AND(Z304="Negada",AA304="Negada"),"Já foi negado",IF(B304="Ativo",X304*8%,"Não liberado"))</f>
        <v>Não liberado</v>
      </c>
    </row>
    <row r="305" spans="1:28">
      <c r="A305" t="s">
        <v>88</v>
      </c>
      <c r="B305" t="str">
        <f t="shared" si="49"/>
        <v>Ativo</v>
      </c>
      <c r="C305" t="str">
        <f t="shared" si="50"/>
        <v>Rhaegar Mormont</v>
      </c>
      <c r="D305" s="15" t="s">
        <v>736</v>
      </c>
      <c r="E305" s="16" t="s">
        <v>737</v>
      </c>
      <c r="F305" s="16" t="str">
        <f t="shared" si="58"/>
        <v>000.000.109-00</v>
      </c>
      <c r="G305">
        <v>64</v>
      </c>
      <c r="H305">
        <f t="shared" ca="1" si="59"/>
        <v>64</v>
      </c>
      <c r="I305" s="12">
        <v>22845</v>
      </c>
      <c r="J305" t="s">
        <v>171</v>
      </c>
      <c r="K305" t="str">
        <f t="shared" si="51"/>
        <v>Fosso Cailin</v>
      </c>
      <c r="L305" t="s">
        <v>186</v>
      </c>
      <c r="M305" t="str" cm="1">
        <f t="array" ref="M305">PROPER(IF(L305&lt;&gt;"",L305,_xlfn.XLOOKUP(1,($K$2:$K$398=K305)*($L$2:$L$398&lt;&gt;""),$L$2:$L$398,"")))</f>
        <v>Norte</v>
      </c>
      <c r="N305">
        <v>12700</v>
      </c>
      <c r="O305">
        <f t="shared" si="60"/>
        <v>12700</v>
      </c>
      <c r="P305">
        <v>0</v>
      </c>
      <c r="Q305" s="17">
        <f t="shared" si="52"/>
        <v>0</v>
      </c>
      <c r="R305" t="s">
        <v>49</v>
      </c>
      <c r="S305" t="str">
        <f t="shared" si="53"/>
        <v>Não</v>
      </c>
      <c r="T305">
        <v>21</v>
      </c>
      <c r="U305">
        <f t="shared" si="54"/>
        <v>21</v>
      </c>
      <c r="V305" t="s">
        <v>49</v>
      </c>
      <c r="W305">
        <v>50500</v>
      </c>
      <c r="X305">
        <f t="shared" si="55"/>
        <v>50500</v>
      </c>
      <c r="Y305" t="str">
        <f t="shared" si="56"/>
        <v>Médio</v>
      </c>
      <c r="Z305" t="str">
        <f>IF(AND(Y305="Alto",S305="Sim"),"Negada","Aprovada")</f>
        <v>Aprovada</v>
      </c>
      <c r="AA305" t="str">
        <f t="shared" si="57"/>
        <v>Aprovada</v>
      </c>
      <c r="AB305">
        <f>IF(AND(Z305="Negada",AA305="Negada"),"Já foi negado",IF(B305="Ativo",X305*8%,"Não liberado"))</f>
        <v>4040</v>
      </c>
    </row>
    <row r="306" spans="1:28">
      <c r="A306" t="s">
        <v>88</v>
      </c>
      <c r="B306" t="str">
        <f t="shared" si="49"/>
        <v>Ativo</v>
      </c>
      <c r="C306" t="str">
        <f t="shared" si="50"/>
        <v>Jorah Florent</v>
      </c>
      <c r="D306" s="15" t="s">
        <v>738</v>
      </c>
      <c r="E306" s="16" t="s">
        <v>739</v>
      </c>
      <c r="F306" s="16" t="str">
        <f t="shared" si="58"/>
        <v>000.000.204-00</v>
      </c>
      <c r="G306">
        <v>49</v>
      </c>
      <c r="H306">
        <f t="shared" ca="1" si="59"/>
        <v>49</v>
      </c>
      <c r="I306" s="12">
        <v>28147</v>
      </c>
      <c r="J306" t="s">
        <v>234</v>
      </c>
      <c r="K306" t="str">
        <f t="shared" si="51"/>
        <v>Porto Real</v>
      </c>
      <c r="L306" t="s">
        <v>423</v>
      </c>
      <c r="M306" t="str" cm="1">
        <f t="array" ref="M306">PROPER(IF(L306&lt;&gt;"",L306,_xlfn.XLOOKUP(1,($K$2:$K$398=K306)*($L$2:$L$398&lt;&gt;""),$L$2:$L$398,"")))</f>
        <v>Terras Da Coroa</v>
      </c>
      <c r="N306">
        <v>28400</v>
      </c>
      <c r="O306">
        <f t="shared" si="60"/>
        <v>28400</v>
      </c>
      <c r="P306" s="14">
        <v>38500</v>
      </c>
      <c r="Q306" s="17">
        <f t="shared" si="52"/>
        <v>38500</v>
      </c>
      <c r="R306" t="s">
        <v>200</v>
      </c>
      <c r="S306" t="str">
        <f t="shared" si="53"/>
        <v>Não</v>
      </c>
      <c r="T306" t="s">
        <v>668</v>
      </c>
      <c r="U306">
        <f t="shared" si="54"/>
        <v>26</v>
      </c>
      <c r="V306" t="s">
        <v>200</v>
      </c>
      <c r="W306">
        <v>51000</v>
      </c>
      <c r="X306">
        <f t="shared" si="55"/>
        <v>51000</v>
      </c>
      <c r="Y306" t="str">
        <f t="shared" si="56"/>
        <v>Alto</v>
      </c>
      <c r="Z306" t="str">
        <f>IF(AND(Y306="Alto",S306="Sim"),"Negada","Aprovada")</f>
        <v>Aprovada</v>
      </c>
      <c r="AA306" t="str">
        <f t="shared" si="57"/>
        <v>Aprovada</v>
      </c>
      <c r="AB306">
        <f>IF(AND(Z306="Negada",AA306="Negada"),"Já foi negado",IF(B306="Ativo",X306*8%,"Não liberado"))</f>
        <v>4080</v>
      </c>
    </row>
    <row r="307" spans="1:28">
      <c r="A307" t="s">
        <v>88</v>
      </c>
      <c r="B307" t="str">
        <f t="shared" si="49"/>
        <v>Ativo</v>
      </c>
      <c r="C307" t="str">
        <f t="shared" si="50"/>
        <v>Asha Blackwood</v>
      </c>
      <c r="D307" s="15" t="s">
        <v>740</v>
      </c>
      <c r="E307" s="16" t="s">
        <v>741</v>
      </c>
      <c r="F307" s="16" t="str">
        <f t="shared" si="58"/>
        <v>000.000.085-00</v>
      </c>
      <c r="G307">
        <v>50</v>
      </c>
      <c r="H307">
        <f t="shared" ca="1" si="59"/>
        <v>50</v>
      </c>
      <c r="I307" s="12">
        <v>27886</v>
      </c>
      <c r="J307" t="s">
        <v>193</v>
      </c>
      <c r="K307" t="str">
        <f t="shared" si="51"/>
        <v>Dorne</v>
      </c>
      <c r="L307" t="s">
        <v>193</v>
      </c>
      <c r="M307" t="str" cm="1">
        <f t="array" ref="M307">PROPER(IF(L307&lt;&gt;"",L307,_xlfn.XLOOKUP(1,($K$2:$K$398=K307)*($L$2:$L$398&lt;&gt;""),$L$2:$L$398,"")))</f>
        <v>Dorne</v>
      </c>
      <c r="N307">
        <v>16100</v>
      </c>
      <c r="O307">
        <f t="shared" si="60"/>
        <v>16100</v>
      </c>
      <c r="P307" s="14">
        <v>8000</v>
      </c>
      <c r="Q307" s="17">
        <f t="shared" si="52"/>
        <v>8000</v>
      </c>
      <c r="R307" t="s">
        <v>50</v>
      </c>
      <c r="S307" t="str">
        <f t="shared" si="53"/>
        <v>Sim</v>
      </c>
      <c r="T307">
        <v>30</v>
      </c>
      <c r="U307">
        <f t="shared" si="54"/>
        <v>30</v>
      </c>
      <c r="V307" t="s">
        <v>50</v>
      </c>
      <c r="W307">
        <v>27000</v>
      </c>
      <c r="X307">
        <f t="shared" si="55"/>
        <v>27000</v>
      </c>
      <c r="Y307" t="str">
        <f t="shared" si="56"/>
        <v>Alto</v>
      </c>
      <c r="Z307" t="str">
        <f>IF(AND(Y307="Alto",S307="Sim"),"Negada","Aprovada")</f>
        <v>Negada</v>
      </c>
      <c r="AA307" t="str">
        <f t="shared" si="57"/>
        <v>Aprovada</v>
      </c>
      <c r="AB307">
        <f>IF(AND(Z307="Negada",AA307="Negada"),"Já foi negado",IF(B307="Ativo",X307*8%,"Não liberado"))</f>
        <v>2160</v>
      </c>
    </row>
    <row r="308" spans="1:28">
      <c r="B308" t="str">
        <f t="shared" si="49"/>
        <v>Não informado</v>
      </c>
      <c r="C308" t="str">
        <f t="shared" si="50"/>
        <v>Gilly Swyft</v>
      </c>
      <c r="D308" s="15" t="s">
        <v>742</v>
      </c>
      <c r="E308" s="16" t="s">
        <v>743</v>
      </c>
      <c r="F308" s="16" t="str">
        <f t="shared" si="58"/>
        <v>000.000.261-00</v>
      </c>
      <c r="H308">
        <f t="shared" ca="1" si="59"/>
        <v>35</v>
      </c>
      <c r="I308" s="12">
        <v>33188</v>
      </c>
      <c r="J308" t="s">
        <v>136</v>
      </c>
      <c r="K308" t="str">
        <f t="shared" si="51"/>
        <v>Braavos</v>
      </c>
      <c r="L308" t="s">
        <v>131</v>
      </c>
      <c r="M308" t="str" cm="1">
        <f t="array" ref="M308">PROPER(IF(L308&lt;&gt;"",L308,_xlfn.XLOOKUP(1,($K$2:$K$398=K308)*($L$2:$L$398&lt;&gt;""),$L$2:$L$398,"")))</f>
        <v>Essos</v>
      </c>
      <c r="N308">
        <v>29900</v>
      </c>
      <c r="O308">
        <f t="shared" si="60"/>
        <v>29900</v>
      </c>
      <c r="P308" s="13">
        <v>64500</v>
      </c>
      <c r="Q308" s="17">
        <f t="shared" si="52"/>
        <v>64500</v>
      </c>
      <c r="R308" t="s">
        <v>49</v>
      </c>
      <c r="S308" t="str">
        <f t="shared" si="53"/>
        <v>Não</v>
      </c>
      <c r="T308">
        <v>34</v>
      </c>
      <c r="U308">
        <f t="shared" si="54"/>
        <v>34</v>
      </c>
      <c r="V308" t="s">
        <v>49</v>
      </c>
      <c r="W308">
        <v>48500</v>
      </c>
      <c r="X308">
        <f t="shared" si="55"/>
        <v>48500</v>
      </c>
      <c r="Y308" t="str">
        <f t="shared" si="56"/>
        <v>Alto</v>
      </c>
      <c r="Z308" t="str">
        <f>IF(AND(Y308="Alto",S308="Sim"),"Negada","Aprovada")</f>
        <v>Aprovada</v>
      </c>
      <c r="AA308" t="str">
        <f t="shared" si="57"/>
        <v>Aprovada</v>
      </c>
      <c r="AB308" t="str">
        <f>IF(AND(Z308="Negada",AA308="Negada"),"Já foi negado",IF(B308="Ativo",X308*8%,"Não liberado"))</f>
        <v>Não liberado</v>
      </c>
    </row>
    <row r="309" spans="1:28">
      <c r="A309" t="s">
        <v>88</v>
      </c>
      <c r="B309" t="str">
        <f t="shared" si="49"/>
        <v>Ativo</v>
      </c>
      <c r="C309" t="str">
        <f t="shared" si="50"/>
        <v>Bran Frey</v>
      </c>
      <c r="D309" s="15" t="s">
        <v>744</v>
      </c>
      <c r="E309" s="16" t="s">
        <v>745</v>
      </c>
      <c r="F309" s="16" t="str">
        <f t="shared" si="58"/>
        <v>000.000.189-00</v>
      </c>
      <c r="G309">
        <v>39</v>
      </c>
      <c r="H309">
        <f t="shared" ca="1" si="59"/>
        <v>39</v>
      </c>
      <c r="I309" s="12">
        <v>31968</v>
      </c>
      <c r="J309" t="s">
        <v>712</v>
      </c>
      <c r="K309" t="str">
        <f t="shared" si="51"/>
        <v>Ilha dos Ursos</v>
      </c>
      <c r="M309" t="str" cm="1">
        <f t="array" ref="M309">PROPER(IF(L309&lt;&gt;"",L309,_xlfn.XLOOKUP(1,($K$2:$K$398=K309)*($L$2:$L$398&lt;&gt;""),$L$2:$L$398,"")))</f>
        <v>Norte</v>
      </c>
      <c r="N309">
        <v>8000</v>
      </c>
      <c r="O309">
        <f t="shared" si="60"/>
        <v>8000</v>
      </c>
      <c r="P309" s="14">
        <v>69000</v>
      </c>
      <c r="Q309" s="17">
        <f t="shared" si="52"/>
        <v>69000</v>
      </c>
      <c r="R309" t="s">
        <v>49</v>
      </c>
      <c r="S309" t="str">
        <f t="shared" si="53"/>
        <v>Não</v>
      </c>
      <c r="T309">
        <v>15</v>
      </c>
      <c r="U309">
        <f t="shared" si="54"/>
        <v>15</v>
      </c>
      <c r="V309" t="s">
        <v>49</v>
      </c>
      <c r="W309">
        <v>39500</v>
      </c>
      <c r="X309">
        <f t="shared" si="55"/>
        <v>39500</v>
      </c>
      <c r="Y309" t="str">
        <f t="shared" si="56"/>
        <v>Médio</v>
      </c>
      <c r="Z309" t="str">
        <f>IF(AND(Y309="Alto",S309="Sim"),"Negada","Aprovada")</f>
        <v>Aprovada</v>
      </c>
      <c r="AA309" t="str">
        <f t="shared" si="57"/>
        <v>Aprovada</v>
      </c>
      <c r="AB309">
        <f>IF(AND(Z309="Negada",AA309="Negada"),"Já foi negado",IF(B309="Ativo",X309*8%,"Não liberado"))</f>
        <v>3160</v>
      </c>
    </row>
    <row r="310" spans="1:28">
      <c r="A310" t="s">
        <v>88</v>
      </c>
      <c r="B310" t="str">
        <f t="shared" si="49"/>
        <v>Ativo</v>
      </c>
      <c r="C310" t="str">
        <f t="shared" si="50"/>
        <v>Rickon Targaryen</v>
      </c>
      <c r="D310" s="15" t="s">
        <v>746</v>
      </c>
      <c r="E310" s="16" t="s">
        <v>747</v>
      </c>
      <c r="F310" s="16" t="str">
        <f t="shared" si="58"/>
        <v>000.000.298-00</v>
      </c>
      <c r="G310">
        <v>19</v>
      </c>
      <c r="H310">
        <f t="shared" ca="1" si="59"/>
        <v>19</v>
      </c>
      <c r="I310" s="12">
        <v>39003</v>
      </c>
      <c r="J310" t="s">
        <v>163</v>
      </c>
      <c r="K310" t="str">
        <f t="shared" si="51"/>
        <v>Ilha dos Ursos</v>
      </c>
      <c r="L310" t="s">
        <v>151</v>
      </c>
      <c r="M310" t="str" cm="1">
        <f t="array" ref="M310">PROPER(IF(L310&lt;&gt;"",L310,_xlfn.XLOOKUP(1,($K$2:$K$398=K310)*($L$2:$L$398&lt;&gt;""),$L$2:$L$398,"")))</f>
        <v>Norte</v>
      </c>
      <c r="N310" t="s">
        <v>748</v>
      </c>
      <c r="O310">
        <f t="shared" si="60"/>
        <v>4000</v>
      </c>
      <c r="P310" s="14">
        <v>29500</v>
      </c>
      <c r="Q310" s="17">
        <f t="shared" si="52"/>
        <v>29500</v>
      </c>
      <c r="R310" t="s">
        <v>50</v>
      </c>
      <c r="S310" t="str">
        <f t="shared" si="53"/>
        <v>Sim</v>
      </c>
      <c r="T310">
        <v>13</v>
      </c>
      <c r="U310">
        <f t="shared" si="54"/>
        <v>13</v>
      </c>
      <c r="V310" t="s">
        <v>50</v>
      </c>
      <c r="W310">
        <v>5000</v>
      </c>
      <c r="X310">
        <f t="shared" si="55"/>
        <v>5000</v>
      </c>
      <c r="Y310" t="str">
        <f t="shared" si="56"/>
        <v>Médio</v>
      </c>
      <c r="Z310" t="str">
        <f>IF(AND(Y310="Alto",S310="Sim"),"Negada","Aprovada")</f>
        <v>Aprovada</v>
      </c>
      <c r="AA310" t="str">
        <f t="shared" si="57"/>
        <v>Aprovada</v>
      </c>
      <c r="AB310">
        <f>IF(AND(Z310="Negada",AA310="Negada"),"Já foi negado",IF(B310="Ativo",X310*8%,"Não liberado"))</f>
        <v>400</v>
      </c>
    </row>
    <row r="311" spans="1:28">
      <c r="A311" t="s">
        <v>93</v>
      </c>
      <c r="B311" t="str">
        <f t="shared" si="49"/>
        <v>Inativo</v>
      </c>
      <c r="C311" t="str">
        <f t="shared" si="50"/>
        <v>Jeor Marbrand</v>
      </c>
      <c r="D311" s="15" t="s">
        <v>458</v>
      </c>
      <c r="E311" s="16" t="s">
        <v>459</v>
      </c>
      <c r="F311" s="16" t="str">
        <f t="shared" si="58"/>
        <v>000.000.073-00</v>
      </c>
      <c r="G311">
        <v>63</v>
      </c>
      <c r="H311">
        <f t="shared" ca="1" si="59"/>
        <v>63</v>
      </c>
      <c r="I311" s="12">
        <v>22924</v>
      </c>
      <c r="J311" t="s">
        <v>136</v>
      </c>
      <c r="K311" t="str">
        <f t="shared" si="51"/>
        <v>Braavos</v>
      </c>
      <c r="L311" t="s">
        <v>267</v>
      </c>
      <c r="M311" t="str" cm="1">
        <f t="array" ref="M311">PROPER(IF(L311&lt;&gt;"",L311,_xlfn.XLOOKUP(1,($K$2:$K$398=K311)*($L$2:$L$398&lt;&gt;""),$L$2:$L$398,"")))</f>
        <v>Essos</v>
      </c>
      <c r="N311">
        <v>29000</v>
      </c>
      <c r="O311">
        <f t="shared" si="60"/>
        <v>29000</v>
      </c>
      <c r="P311" s="13">
        <v>36500</v>
      </c>
      <c r="Q311" s="17">
        <f t="shared" si="52"/>
        <v>36500</v>
      </c>
      <c r="R311" t="s">
        <v>49</v>
      </c>
      <c r="S311" t="str">
        <f t="shared" si="53"/>
        <v>Não</v>
      </c>
      <c r="T311">
        <v>38</v>
      </c>
      <c r="U311">
        <f t="shared" si="54"/>
        <v>38</v>
      </c>
      <c r="V311" t="s">
        <v>49</v>
      </c>
      <c r="W311">
        <v>68000</v>
      </c>
      <c r="X311">
        <f t="shared" si="55"/>
        <v>68000</v>
      </c>
      <c r="Y311" t="str">
        <f t="shared" si="56"/>
        <v>Alto</v>
      </c>
      <c r="Z311" t="str">
        <f>IF(AND(Y311="Alto",S311="Sim"),"Negada","Aprovada")</f>
        <v>Aprovada</v>
      </c>
      <c r="AA311" t="str">
        <f t="shared" si="57"/>
        <v>Aprovada</v>
      </c>
      <c r="AB311" t="str">
        <f>IF(AND(Z311="Negada",AA311="Negada"),"Já foi negado",IF(B311="Ativo",X311*8%,"Não liberado"))</f>
        <v>Não liberado</v>
      </c>
    </row>
    <row r="312" spans="1:28">
      <c r="A312" t="s">
        <v>88</v>
      </c>
      <c r="B312" t="str">
        <f t="shared" si="49"/>
        <v>Ativo</v>
      </c>
      <c r="C312" t="str">
        <f t="shared" si="50"/>
        <v>Lyanna Westerling</v>
      </c>
      <c r="D312" s="15" t="s">
        <v>749</v>
      </c>
      <c r="E312" s="16">
        <v>17900</v>
      </c>
      <c r="F312" s="16" t="str">
        <f t="shared" si="58"/>
        <v>000.000.179-00</v>
      </c>
      <c r="G312">
        <v>44</v>
      </c>
      <c r="H312">
        <f t="shared" ca="1" si="59"/>
        <v>44</v>
      </c>
      <c r="I312" s="12">
        <v>29991</v>
      </c>
      <c r="J312" t="s">
        <v>234</v>
      </c>
      <c r="K312" t="str">
        <f t="shared" si="51"/>
        <v>Porto Real</v>
      </c>
      <c r="M312" t="str" cm="1">
        <f t="array" ref="M312">PROPER(IF(L312&lt;&gt;"",L312,_xlfn.XLOOKUP(1,($K$2:$K$398=K312)*($L$2:$L$398&lt;&gt;""),$L$2:$L$398,"")))</f>
        <v>Terras Da Coroa</v>
      </c>
      <c r="N312">
        <v>6700</v>
      </c>
      <c r="O312">
        <f t="shared" si="60"/>
        <v>6700</v>
      </c>
      <c r="P312">
        <v>16500</v>
      </c>
      <c r="Q312" s="17">
        <f t="shared" si="52"/>
        <v>16500</v>
      </c>
      <c r="R312" t="s">
        <v>50</v>
      </c>
      <c r="S312" t="str">
        <f t="shared" si="53"/>
        <v>Sim</v>
      </c>
      <c r="T312">
        <v>38</v>
      </c>
      <c r="U312">
        <f t="shared" si="54"/>
        <v>38</v>
      </c>
      <c r="V312" t="s">
        <v>50</v>
      </c>
      <c r="W312">
        <v>15500</v>
      </c>
      <c r="X312">
        <f t="shared" si="55"/>
        <v>15500</v>
      </c>
      <c r="Y312" t="str">
        <f t="shared" si="56"/>
        <v>Alto</v>
      </c>
      <c r="Z312" t="str">
        <f>IF(AND(Y312="Alto",S312="Sim"),"Negada","Aprovada")</f>
        <v>Negada</v>
      </c>
      <c r="AA312" t="str">
        <f t="shared" si="57"/>
        <v>Aprovada</v>
      </c>
      <c r="AB312">
        <f>IF(AND(Z312="Negada",AA312="Negada"),"Já foi negado",IF(B312="Ativo",X312*8%,"Não liberado"))</f>
        <v>1240</v>
      </c>
    </row>
    <row r="313" spans="1:28">
      <c r="A313" t="s">
        <v>88</v>
      </c>
      <c r="B313" t="str">
        <f t="shared" si="49"/>
        <v>Ativo</v>
      </c>
      <c r="C313" t="str">
        <f t="shared" si="50"/>
        <v>Jon Tarth</v>
      </c>
      <c r="D313" s="15" t="s">
        <v>693</v>
      </c>
      <c r="E313" s="16" t="s">
        <v>750</v>
      </c>
      <c r="F313" s="16" t="str">
        <f t="shared" si="58"/>
        <v>000.000.004-00</v>
      </c>
      <c r="G313">
        <v>26</v>
      </c>
      <c r="H313">
        <f t="shared" ca="1" si="59"/>
        <v>26</v>
      </c>
      <c r="I313" s="12">
        <v>36671</v>
      </c>
      <c r="J313" t="s">
        <v>95</v>
      </c>
      <c r="K313" t="str">
        <f t="shared" si="51"/>
        <v>Ponta Tempestade</v>
      </c>
      <c r="L313" t="s">
        <v>197</v>
      </c>
      <c r="M313" t="str" cm="1">
        <f t="array" ref="M313">PROPER(IF(L313&lt;&gt;"",L313,_xlfn.XLOOKUP(1,($K$2:$K$398=K313)*($L$2:$L$398&lt;&gt;""),$L$2:$L$398,"")))</f>
        <v>Terras Da Tempestade</v>
      </c>
      <c r="N313">
        <v>25000</v>
      </c>
      <c r="O313">
        <f t="shared" si="60"/>
        <v>25000</v>
      </c>
      <c r="P313">
        <v>1000</v>
      </c>
      <c r="Q313" s="17">
        <f t="shared" si="52"/>
        <v>1000</v>
      </c>
      <c r="R313" t="s">
        <v>49</v>
      </c>
      <c r="S313" t="str">
        <f t="shared" si="53"/>
        <v>Não</v>
      </c>
      <c r="T313">
        <v>16</v>
      </c>
      <c r="U313">
        <f t="shared" si="54"/>
        <v>16</v>
      </c>
      <c r="V313" t="s">
        <v>49</v>
      </c>
      <c r="W313">
        <v>10500</v>
      </c>
      <c r="X313">
        <f t="shared" si="55"/>
        <v>10500</v>
      </c>
      <c r="Y313" t="str">
        <f t="shared" si="56"/>
        <v>Médio</v>
      </c>
      <c r="Z313" t="str">
        <f>IF(AND(Y313="Alto",S313="Sim"),"Negada","Aprovada")</f>
        <v>Aprovada</v>
      </c>
      <c r="AA313" t="str">
        <f t="shared" si="57"/>
        <v>Aprovada</v>
      </c>
      <c r="AB313">
        <f>IF(AND(Z313="Negada",AA313="Negada"),"Já foi negado",IF(B313="Ativo",X313*8%,"Não liberado"))</f>
        <v>840</v>
      </c>
    </row>
    <row r="314" spans="1:28">
      <c r="A314" t="s">
        <v>88</v>
      </c>
      <c r="B314" t="str">
        <f t="shared" si="49"/>
        <v>Ativo</v>
      </c>
      <c r="C314" t="str">
        <f t="shared" si="50"/>
        <v>Renly Stark</v>
      </c>
      <c r="D314" s="15" t="s">
        <v>751</v>
      </c>
      <c r="E314" s="16">
        <v>25200</v>
      </c>
      <c r="F314" s="16" t="str">
        <f t="shared" si="58"/>
        <v>000.000.252-00</v>
      </c>
      <c r="G314">
        <v>44</v>
      </c>
      <c r="H314">
        <f t="shared" ca="1" si="59"/>
        <v>44</v>
      </c>
      <c r="I314" s="12">
        <v>30081</v>
      </c>
      <c r="J314" t="s">
        <v>136</v>
      </c>
      <c r="K314" t="str">
        <f t="shared" si="51"/>
        <v>Braavos</v>
      </c>
      <c r="L314" t="s">
        <v>131</v>
      </c>
      <c r="M314" t="str" cm="1">
        <f t="array" ref="M314">PROPER(IF(L314&lt;&gt;"",L314,_xlfn.XLOOKUP(1,($K$2:$K$398=K314)*($L$2:$L$398&lt;&gt;""),$L$2:$L$398,"")))</f>
        <v>Essos</v>
      </c>
      <c r="N314">
        <v>9600</v>
      </c>
      <c r="O314">
        <f t="shared" si="60"/>
        <v>9600</v>
      </c>
      <c r="P314" s="14">
        <v>66000</v>
      </c>
      <c r="Q314" s="17">
        <f t="shared" si="52"/>
        <v>66000</v>
      </c>
      <c r="S314" t="str">
        <f t="shared" si="53"/>
        <v>Não</v>
      </c>
      <c r="T314">
        <v>11</v>
      </c>
      <c r="U314">
        <f t="shared" si="54"/>
        <v>11</v>
      </c>
      <c r="W314">
        <v>4500</v>
      </c>
      <c r="X314">
        <f t="shared" si="55"/>
        <v>4500</v>
      </c>
      <c r="Y314" t="str">
        <f t="shared" si="56"/>
        <v>Médio</v>
      </c>
      <c r="Z314" t="str">
        <f>IF(AND(Y314="Alto",S314="Sim"),"Negada","Aprovada")</f>
        <v>Aprovada</v>
      </c>
      <c r="AA314" t="str">
        <f t="shared" si="57"/>
        <v>Aprovada</v>
      </c>
      <c r="AB314">
        <f>IF(AND(Z314="Negada",AA314="Negada"),"Já foi negado",IF(B314="Ativo",X314*8%,"Não liberado"))</f>
        <v>360</v>
      </c>
    </row>
    <row r="315" spans="1:28">
      <c r="A315" t="s">
        <v>88</v>
      </c>
      <c r="B315" t="str">
        <f t="shared" si="49"/>
        <v>Ativo</v>
      </c>
      <c r="C315" t="str">
        <f t="shared" si="50"/>
        <v>Olenna Hornwood</v>
      </c>
      <c r="D315" s="15" t="s">
        <v>752</v>
      </c>
      <c r="E315" s="16">
        <v>29900</v>
      </c>
      <c r="F315" s="16" t="str">
        <f t="shared" si="58"/>
        <v>000.000.299-00</v>
      </c>
      <c r="G315" t="s">
        <v>272</v>
      </c>
      <c r="H315" t="str">
        <f t="shared" ca="1" si="59"/>
        <v>N/A</v>
      </c>
      <c r="J315" t="s">
        <v>150</v>
      </c>
      <c r="K315" t="str">
        <f t="shared" si="51"/>
        <v>Castelo Negro</v>
      </c>
      <c r="L315" t="s">
        <v>151</v>
      </c>
      <c r="M315" t="str" cm="1">
        <f t="array" ref="M315">PROPER(IF(L315&lt;&gt;"",L315,_xlfn.XLOOKUP(1,($K$2:$K$398=K315)*($L$2:$L$398&lt;&gt;""),$L$2:$L$398,"")))</f>
        <v>Norte</v>
      </c>
      <c r="N315">
        <v>21300</v>
      </c>
      <c r="O315">
        <f t="shared" si="60"/>
        <v>21300</v>
      </c>
      <c r="P315">
        <v>60500</v>
      </c>
      <c r="Q315" s="17">
        <f t="shared" si="52"/>
        <v>60500</v>
      </c>
      <c r="S315" t="str">
        <f t="shared" si="53"/>
        <v>Não</v>
      </c>
      <c r="T315">
        <v>15</v>
      </c>
      <c r="U315">
        <f t="shared" si="54"/>
        <v>15</v>
      </c>
      <c r="W315">
        <v>74500</v>
      </c>
      <c r="X315">
        <f t="shared" si="55"/>
        <v>74500</v>
      </c>
      <c r="Y315" t="str">
        <f t="shared" si="56"/>
        <v>Médio</v>
      </c>
      <c r="Z315" t="str">
        <f>IF(AND(Y315="Alto",S315="Sim"),"Negada","Aprovada")</f>
        <v>Aprovada</v>
      </c>
      <c r="AA315" t="str">
        <f t="shared" si="57"/>
        <v>Aprovada</v>
      </c>
      <c r="AB315">
        <f>IF(AND(Z315="Negada",AA315="Negada"),"Já foi negado",IF(B315="Ativo",X315*8%,"Não liberado"))</f>
        <v>5960</v>
      </c>
    </row>
    <row r="316" spans="1:28">
      <c r="A316" t="s">
        <v>88</v>
      </c>
      <c r="B316" t="str">
        <f t="shared" si="49"/>
        <v>Ativo</v>
      </c>
      <c r="C316" t="str">
        <f t="shared" si="50"/>
        <v>Aegon Blackwood</v>
      </c>
      <c r="D316" s="15" t="s">
        <v>753</v>
      </c>
      <c r="E316" s="16" t="s">
        <v>754</v>
      </c>
      <c r="F316" s="16" t="str">
        <f t="shared" si="58"/>
        <v>000.000.118-00</v>
      </c>
      <c r="G316">
        <v>69</v>
      </c>
      <c r="H316">
        <f t="shared" ca="1" si="59"/>
        <v>69</v>
      </c>
      <c r="I316" s="12">
        <v>21054</v>
      </c>
      <c r="J316" t="s">
        <v>182</v>
      </c>
      <c r="K316" t="str">
        <f t="shared" si="51"/>
        <v>Jardim de Cima</v>
      </c>
      <c r="L316" t="s">
        <v>158</v>
      </c>
      <c r="M316" t="str" cm="1">
        <f t="array" ref="M316">PROPER(IF(L316&lt;&gt;"",L316,_xlfn.XLOOKUP(1,($K$2:$K$398=K316)*($L$2:$L$398&lt;&gt;""),$L$2:$L$398,"")))</f>
        <v>Campina</v>
      </c>
      <c r="N316" s="14">
        <v>23800</v>
      </c>
      <c r="O316">
        <f t="shared" si="60"/>
        <v>23800</v>
      </c>
      <c r="P316" t="s">
        <v>103</v>
      </c>
      <c r="Q316" s="17" t="str">
        <f t="shared" si="52"/>
        <v>Não informado</v>
      </c>
      <c r="S316" t="str">
        <f t="shared" si="53"/>
        <v>Não</v>
      </c>
      <c r="T316">
        <v>26</v>
      </c>
      <c r="U316">
        <f t="shared" si="54"/>
        <v>26</v>
      </c>
      <c r="W316">
        <v>89000</v>
      </c>
      <c r="X316">
        <f t="shared" si="55"/>
        <v>89000</v>
      </c>
      <c r="Y316" t="str">
        <f t="shared" si="56"/>
        <v>Alto</v>
      </c>
      <c r="Z316" t="str">
        <f>IF(AND(Y316="Alto",S316="Sim"),"Negada","Aprovada")</f>
        <v>Aprovada</v>
      </c>
      <c r="AA316" t="str">
        <f t="shared" si="57"/>
        <v>Aprovada</v>
      </c>
      <c r="AB316">
        <f>IF(AND(Z316="Negada",AA316="Negada"),"Já foi negado",IF(B316="Ativo",X316*8%,"Não liberado"))</f>
        <v>7120</v>
      </c>
    </row>
    <row r="317" spans="1:28">
      <c r="A317" t="s">
        <v>88</v>
      </c>
      <c r="B317" t="str">
        <f t="shared" si="49"/>
        <v>Ativo</v>
      </c>
      <c r="C317" t="str">
        <f t="shared" si="50"/>
        <v>Brienne Glover</v>
      </c>
      <c r="D317" s="15" t="s">
        <v>755</v>
      </c>
      <c r="E317" s="16" t="s">
        <v>756</v>
      </c>
      <c r="F317" s="16" t="str">
        <f t="shared" si="58"/>
        <v>000.000.355-00</v>
      </c>
      <c r="G317">
        <v>67</v>
      </c>
      <c r="H317">
        <f t="shared" ca="1" si="59"/>
        <v>67</v>
      </c>
      <c r="I317" s="12">
        <v>21522</v>
      </c>
      <c r="J317" t="s">
        <v>312</v>
      </c>
      <c r="K317" t="str">
        <f t="shared" si="51"/>
        <v>Solar do Entardecer</v>
      </c>
      <c r="L317" t="s">
        <v>313</v>
      </c>
      <c r="M317" t="str" cm="1">
        <f t="array" ref="M317">PROPER(IF(L317&lt;&gt;"",L317,_xlfn.XLOOKUP(1,($K$2:$K$398=K317)*($L$2:$L$398&lt;&gt;""),$L$2:$L$398,"")))</f>
        <v>Terras Da Tempestade</v>
      </c>
      <c r="N317">
        <v>11300</v>
      </c>
      <c r="O317">
        <f t="shared" si="60"/>
        <v>11300</v>
      </c>
      <c r="P317">
        <v>49500</v>
      </c>
      <c r="Q317" s="17">
        <f t="shared" si="52"/>
        <v>49500</v>
      </c>
      <c r="R317" t="s">
        <v>49</v>
      </c>
      <c r="S317" t="str">
        <f t="shared" si="53"/>
        <v>Não</v>
      </c>
      <c r="T317">
        <v>12</v>
      </c>
      <c r="U317">
        <f t="shared" si="54"/>
        <v>12</v>
      </c>
      <c r="V317" t="s">
        <v>49</v>
      </c>
      <c r="W317">
        <v>34500</v>
      </c>
      <c r="X317">
        <f t="shared" si="55"/>
        <v>34500</v>
      </c>
      <c r="Y317" t="str">
        <f t="shared" si="56"/>
        <v>Médio</v>
      </c>
      <c r="Z317" t="str">
        <f>IF(AND(Y317="Alto",S317="Sim"),"Negada","Aprovada")</f>
        <v>Aprovada</v>
      </c>
      <c r="AA317" t="str">
        <f t="shared" si="57"/>
        <v>Aprovada</v>
      </c>
      <c r="AB317">
        <f>IF(AND(Z317="Negada",AA317="Negada"),"Já foi negado",IF(B317="Ativo",X317*8%,"Não liberado"))</f>
        <v>2760</v>
      </c>
    </row>
    <row r="318" spans="1:28">
      <c r="A318" t="s">
        <v>88</v>
      </c>
      <c r="B318" t="str">
        <f t="shared" si="49"/>
        <v>Ativo</v>
      </c>
      <c r="C318" t="str">
        <f t="shared" si="50"/>
        <v>Ellaria Cerwyn</v>
      </c>
      <c r="D318" s="15" t="s">
        <v>757</v>
      </c>
      <c r="E318" s="16" t="s">
        <v>758</v>
      </c>
      <c r="F318" s="16" t="str">
        <f t="shared" si="58"/>
        <v>000.000.019-00</v>
      </c>
      <c r="G318" t="s">
        <v>759</v>
      </c>
      <c r="H318">
        <f t="shared" ca="1" si="59"/>
        <v>51</v>
      </c>
      <c r="I318" s="12">
        <v>27378</v>
      </c>
      <c r="J318" t="s">
        <v>193</v>
      </c>
      <c r="K318" t="str">
        <f t="shared" si="51"/>
        <v>Dorne</v>
      </c>
      <c r="L318" t="s">
        <v>193</v>
      </c>
      <c r="M318" t="str" cm="1">
        <f t="array" ref="M318">PROPER(IF(L318&lt;&gt;"",L318,_xlfn.XLOOKUP(1,($K$2:$K$398=K318)*($L$2:$L$398&lt;&gt;""),$L$2:$L$398,"")))</f>
        <v>Dorne</v>
      </c>
      <c r="N318" s="13">
        <v>11600</v>
      </c>
      <c r="O318">
        <f t="shared" si="60"/>
        <v>11600</v>
      </c>
      <c r="P318">
        <v>41000</v>
      </c>
      <c r="Q318" s="17">
        <f t="shared" si="52"/>
        <v>41000</v>
      </c>
      <c r="R318" t="s">
        <v>49</v>
      </c>
      <c r="S318" t="str">
        <f t="shared" si="53"/>
        <v>Não</v>
      </c>
      <c r="T318" t="s">
        <v>760</v>
      </c>
      <c r="U318">
        <f t="shared" si="54"/>
        <v>7</v>
      </c>
      <c r="V318" t="s">
        <v>49</v>
      </c>
      <c r="W318">
        <v>67000</v>
      </c>
      <c r="X318">
        <f t="shared" si="55"/>
        <v>67000</v>
      </c>
      <c r="Y318" t="str">
        <f t="shared" si="56"/>
        <v>Baixo</v>
      </c>
      <c r="Z318" t="str">
        <f>IF(AND(Y318="Alto",S318="Sim"),"Negada","Aprovada")</f>
        <v>Aprovada</v>
      </c>
      <c r="AA318" t="str">
        <f t="shared" si="57"/>
        <v>Aprovada</v>
      </c>
      <c r="AB318">
        <f>IF(AND(Z318="Negada",AA318="Negada"),"Já foi negado",IF(B318="Ativo",X318*8%,"Não liberado"))</f>
        <v>5360</v>
      </c>
    </row>
    <row r="319" spans="1:28">
      <c r="A319" t="s">
        <v>88</v>
      </c>
      <c r="B319" t="str">
        <f t="shared" si="49"/>
        <v>Ativo</v>
      </c>
      <c r="C319" t="str">
        <f t="shared" si="50"/>
        <v>Loras Lannister</v>
      </c>
      <c r="D319" s="15" t="s">
        <v>761</v>
      </c>
      <c r="E319" s="16" t="s">
        <v>762</v>
      </c>
      <c r="F319" s="16" t="str">
        <f t="shared" si="58"/>
        <v>000.000.302-00</v>
      </c>
      <c r="G319">
        <v>49</v>
      </c>
      <c r="H319">
        <f t="shared" ca="1" si="59"/>
        <v>49</v>
      </c>
      <c r="I319" s="12">
        <v>28067</v>
      </c>
      <c r="J319" t="s">
        <v>121</v>
      </c>
      <c r="K319" t="str">
        <f t="shared" si="51"/>
        <v>Pyke</v>
      </c>
      <c r="L319" t="s">
        <v>141</v>
      </c>
      <c r="M319" t="str" cm="1">
        <f t="array" ref="M319">PROPER(IF(L319&lt;&gt;"",L319,_xlfn.XLOOKUP(1,($K$2:$K$398=K319)*($L$2:$L$398&lt;&gt;""),$L$2:$L$398,"")))</f>
        <v>Ilhas De Ferro</v>
      </c>
      <c r="N319">
        <v>29800</v>
      </c>
      <c r="O319">
        <f t="shared" si="60"/>
        <v>29800</v>
      </c>
      <c r="P319" s="14">
        <v>54500</v>
      </c>
      <c r="Q319" s="17">
        <f t="shared" si="52"/>
        <v>54500</v>
      </c>
      <c r="R319" t="s">
        <v>49</v>
      </c>
      <c r="S319" t="str">
        <f t="shared" si="53"/>
        <v>Não</v>
      </c>
      <c r="T319">
        <v>34</v>
      </c>
      <c r="U319">
        <f t="shared" si="54"/>
        <v>34</v>
      </c>
      <c r="V319" t="s">
        <v>49</v>
      </c>
      <c r="W319">
        <v>72000</v>
      </c>
      <c r="X319">
        <f t="shared" si="55"/>
        <v>72000</v>
      </c>
      <c r="Y319" t="str">
        <f t="shared" si="56"/>
        <v>Alto</v>
      </c>
      <c r="Z319" t="str">
        <f>IF(AND(Y319="Alto",S319="Sim"),"Negada","Aprovada")</f>
        <v>Aprovada</v>
      </c>
      <c r="AA319" t="str">
        <f t="shared" si="57"/>
        <v>Aprovada</v>
      </c>
      <c r="AB319">
        <f>IF(AND(Z319="Negada",AA319="Negada"),"Já foi negado",IF(B319="Ativo",X319*8%,"Não liberado"))</f>
        <v>5760</v>
      </c>
    </row>
    <row r="320" spans="1:28">
      <c r="A320" t="s">
        <v>88</v>
      </c>
      <c r="B320" t="str">
        <f t="shared" si="49"/>
        <v>Ativo</v>
      </c>
      <c r="C320" t="str">
        <f t="shared" si="50"/>
        <v>Beric Tyrell</v>
      </c>
      <c r="D320" s="15" t="s">
        <v>435</v>
      </c>
      <c r="E320" s="16" t="s">
        <v>763</v>
      </c>
      <c r="F320" s="16" t="str">
        <f t="shared" si="58"/>
        <v>000.000.103-00</v>
      </c>
      <c r="G320">
        <v>20</v>
      </c>
      <c r="H320">
        <f t="shared" ca="1" si="59"/>
        <v>20</v>
      </c>
      <c r="I320" s="12">
        <v>38957</v>
      </c>
      <c r="J320" t="s">
        <v>171</v>
      </c>
      <c r="K320" t="str">
        <f t="shared" si="51"/>
        <v>Fosso Cailin</v>
      </c>
      <c r="L320" t="s">
        <v>151</v>
      </c>
      <c r="M320" t="str" cm="1">
        <f t="array" ref="M320">PROPER(IF(L320&lt;&gt;"",L320,_xlfn.XLOOKUP(1,($K$2:$K$398=K320)*($L$2:$L$398&lt;&gt;""),$L$2:$L$398,"")))</f>
        <v>Norte</v>
      </c>
      <c r="N320">
        <v>18200</v>
      </c>
      <c r="O320">
        <f t="shared" si="60"/>
        <v>18200</v>
      </c>
      <c r="Q320" s="17">
        <f t="shared" si="52"/>
        <v>0</v>
      </c>
      <c r="R320" t="s">
        <v>49</v>
      </c>
      <c r="S320" t="str">
        <f t="shared" si="53"/>
        <v>Não</v>
      </c>
      <c r="T320">
        <v>21</v>
      </c>
      <c r="U320">
        <f t="shared" si="54"/>
        <v>21</v>
      </c>
      <c r="V320" t="s">
        <v>49</v>
      </c>
      <c r="W320">
        <v>61500</v>
      </c>
      <c r="X320">
        <f t="shared" si="55"/>
        <v>61500</v>
      </c>
      <c r="Y320" t="str">
        <f t="shared" si="56"/>
        <v>Médio</v>
      </c>
      <c r="Z320" t="str">
        <f>IF(AND(Y320="Alto",S320="Sim"),"Negada","Aprovada")</f>
        <v>Aprovada</v>
      </c>
      <c r="AA320" t="str">
        <f t="shared" si="57"/>
        <v>Aprovada</v>
      </c>
      <c r="AB320">
        <f>IF(AND(Z320="Negada",AA320="Negada"),"Já foi negado",IF(B320="Ativo",X320*8%,"Não liberado"))</f>
        <v>4920</v>
      </c>
    </row>
    <row r="321" spans="1:28">
      <c r="A321" t="s">
        <v>88</v>
      </c>
      <c r="B321" t="str">
        <f t="shared" si="49"/>
        <v>Ativo</v>
      </c>
      <c r="C321" t="str">
        <f t="shared" si="50"/>
        <v>Thoros Crakehall</v>
      </c>
      <c r="D321" s="15" t="s">
        <v>627</v>
      </c>
      <c r="E321" s="16">
        <v>19300</v>
      </c>
      <c r="F321" s="16" t="str">
        <f t="shared" si="58"/>
        <v>000.000.193-00</v>
      </c>
      <c r="G321">
        <v>74</v>
      </c>
      <c r="H321">
        <f t="shared" ca="1" si="59"/>
        <v>74</v>
      </c>
      <c r="I321" s="12">
        <v>19131</v>
      </c>
      <c r="J321" t="s">
        <v>234</v>
      </c>
      <c r="K321" t="str">
        <f t="shared" si="51"/>
        <v>Porto Real</v>
      </c>
      <c r="L321" t="s">
        <v>341</v>
      </c>
      <c r="M321" t="str" cm="1">
        <f t="array" ref="M321">PROPER(IF(L321&lt;&gt;"",L321,_xlfn.XLOOKUP(1,($K$2:$K$398=K321)*($L$2:$L$398&lt;&gt;""),$L$2:$L$398,"")))</f>
        <v>Terras Da Coroa</v>
      </c>
      <c r="N321">
        <v>20700</v>
      </c>
      <c r="O321">
        <f t="shared" si="60"/>
        <v>20700</v>
      </c>
      <c r="P321" s="13">
        <v>17500</v>
      </c>
      <c r="Q321" s="17">
        <f t="shared" si="52"/>
        <v>17500</v>
      </c>
      <c r="R321" t="s">
        <v>49</v>
      </c>
      <c r="S321" t="str">
        <f t="shared" si="53"/>
        <v>Não</v>
      </c>
      <c r="T321">
        <v>35</v>
      </c>
      <c r="U321">
        <f t="shared" si="54"/>
        <v>35</v>
      </c>
      <c r="V321" t="s">
        <v>49</v>
      </c>
      <c r="W321">
        <v>68500</v>
      </c>
      <c r="X321">
        <f t="shared" si="55"/>
        <v>68500</v>
      </c>
      <c r="Y321" t="str">
        <f t="shared" si="56"/>
        <v>Alto</v>
      </c>
      <c r="Z321" t="str">
        <f>IF(AND(Y321="Alto",S321="Sim"),"Negada","Aprovada")</f>
        <v>Aprovada</v>
      </c>
      <c r="AA321" t="str">
        <f t="shared" si="57"/>
        <v>Aprovada</v>
      </c>
      <c r="AB321">
        <f>IF(AND(Z321="Negada",AA321="Negada"),"Já foi negado",IF(B321="Ativo",X321*8%,"Não liberado"))</f>
        <v>5480</v>
      </c>
    </row>
    <row r="322" spans="1:28">
      <c r="A322" t="s">
        <v>93</v>
      </c>
      <c r="B322" t="str">
        <f t="shared" si="49"/>
        <v>Inativo</v>
      </c>
      <c r="C322" t="str">
        <f t="shared" si="50"/>
        <v>Yara Tallhart</v>
      </c>
      <c r="D322" s="15" t="s">
        <v>608</v>
      </c>
      <c r="E322" s="16">
        <v>6400</v>
      </c>
      <c r="F322" s="16" t="str">
        <f t="shared" si="58"/>
        <v>000.000.064-00</v>
      </c>
      <c r="G322">
        <v>57</v>
      </c>
      <c r="H322">
        <f t="shared" ca="1" si="59"/>
        <v>57</v>
      </c>
      <c r="I322" s="12">
        <v>25206</v>
      </c>
      <c r="J322" t="s">
        <v>147</v>
      </c>
      <c r="K322" t="str">
        <f t="shared" si="51"/>
        <v>Correrrio</v>
      </c>
      <c r="L322" t="s">
        <v>363</v>
      </c>
      <c r="M322" t="str" cm="1">
        <f t="array" ref="M322">PROPER(IF(L322&lt;&gt;"",L322,_xlfn.XLOOKUP(1,($K$2:$K$398=K322)*($L$2:$L$398&lt;&gt;""),$L$2:$L$398,"")))</f>
        <v>Terras Fluviais</v>
      </c>
      <c r="N322">
        <v>3400</v>
      </c>
      <c r="O322">
        <f t="shared" si="60"/>
        <v>3400</v>
      </c>
      <c r="P322">
        <v>23500</v>
      </c>
      <c r="Q322" s="17">
        <f t="shared" si="52"/>
        <v>23500</v>
      </c>
      <c r="R322" t="s">
        <v>49</v>
      </c>
      <c r="S322" t="str">
        <f t="shared" si="53"/>
        <v>Não</v>
      </c>
      <c r="T322">
        <v>20</v>
      </c>
      <c r="U322">
        <f t="shared" si="54"/>
        <v>20</v>
      </c>
      <c r="V322" t="s">
        <v>49</v>
      </c>
      <c r="W322">
        <v>50500</v>
      </c>
      <c r="X322">
        <f t="shared" si="55"/>
        <v>50500</v>
      </c>
      <c r="Y322" t="str">
        <f t="shared" si="56"/>
        <v>Médio</v>
      </c>
      <c r="Z322" t="str">
        <f>IF(AND(Y322="Alto",S322="Sim"),"Negada","Aprovada")</f>
        <v>Aprovada</v>
      </c>
      <c r="AA322" t="str">
        <f t="shared" si="57"/>
        <v>Aprovada</v>
      </c>
      <c r="AB322" t="str">
        <f>IF(AND(Z322="Negada",AA322="Negada"),"Já foi negado",IF(B322="Ativo",X322*8%,"Não liberado"))</f>
        <v>Não liberado</v>
      </c>
    </row>
    <row r="323" spans="1:28">
      <c r="A323" t="s">
        <v>88</v>
      </c>
      <c r="B323" t="str">
        <f t="shared" ref="B323:B369" si="61">IF(A323="","Não informado",IF(OR(A323="Ativoo",A323="ATIVO",A323="ativo"),"Ativo",IF(OR(A323="Loqueado",A323="Bloqueado"),"Bloqueado",PROPER(A323))))</f>
        <v>Ativo</v>
      </c>
      <c r="C323" t="str">
        <f t="shared" ref="C323:C369" si="62">PROPER(D323)</f>
        <v>Missandei Florent</v>
      </c>
      <c r="D323" s="15" t="s">
        <v>413</v>
      </c>
      <c r="E323" s="16" t="s">
        <v>414</v>
      </c>
      <c r="F323" s="16" t="str">
        <f t="shared" si="58"/>
        <v>000.000.282-00</v>
      </c>
      <c r="G323">
        <v>56</v>
      </c>
      <c r="H323">
        <f t="shared" ca="1" si="59"/>
        <v>56</v>
      </c>
      <c r="I323" s="12">
        <v>25671</v>
      </c>
      <c r="J323" t="s">
        <v>178</v>
      </c>
      <c r="K323" t="str">
        <f t="shared" ref="K323:K369" si="63">IFERROR(TRIM(_xlfn.TEXTBEFORE(J323,"|")),J323)</f>
        <v>Harrenhal</v>
      </c>
      <c r="L323" t="s">
        <v>148</v>
      </c>
      <c r="M323" t="str" cm="1">
        <f t="array" ref="M323">PROPER(IF(L323&lt;&gt;"",L323,_xlfn.XLOOKUP(1,($K$2:$K$398=K323)*($L$2:$L$398&lt;&gt;""),$L$2:$L$398,"")))</f>
        <v>Terras Fluviais</v>
      </c>
      <c r="N323">
        <v>28300</v>
      </c>
      <c r="O323">
        <f t="shared" si="60"/>
        <v>28300</v>
      </c>
      <c r="P323">
        <v>56000</v>
      </c>
      <c r="Q323" s="17">
        <f t="shared" ref="Q323:Q369" si="64">IF(P323="N/A","Não informado",IFERROR(VALUE(SUBSTITUTE(SUBSTITUTE(P323,"R$ ","")," moedas","")),P323))</f>
        <v>56000</v>
      </c>
      <c r="R323" t="s">
        <v>49</v>
      </c>
      <c r="S323" t="str">
        <f t="shared" ref="S323:S369" si="65">IF(OR(R323="Sim",R323="SIM",R323="sim",R323=1,R323="1"),"Sim",IF(OR(R323="Não",R323="Nao",R323="NÃO",R323="nao",R323=0,R323="0"),"Não","Não informado"))</f>
        <v>Não</v>
      </c>
      <c r="T323">
        <v>6</v>
      </c>
      <c r="U323">
        <f t="shared" ref="U323:U369" si="66">IFERROR(VALUE(SUBSTITUTE(T323," batalhas","")),T323)</f>
        <v>6</v>
      </c>
      <c r="V323" t="s">
        <v>49</v>
      </c>
      <c r="W323">
        <v>84500</v>
      </c>
      <c r="X323">
        <f t="shared" ref="X323:X369" si="67">IFERROR(VALUE(SUBSTITUTE(SUBSTITUTE(W323,"R$ ","")," moedas","")),W323)</f>
        <v>84500</v>
      </c>
      <c r="Y323" t="str">
        <f t="shared" ref="Y323:Y369" si="68">IF(U323&lt;=10,"Baixo",IF(U323&lt;=25,"Médio","Alto"))</f>
        <v>Baixo</v>
      </c>
      <c r="Z323" t="str">
        <f>IF(AND(Y323="Alto",S323="Sim"),"Negada","Aprovada")</f>
        <v>Aprovada</v>
      </c>
      <c r="AA323" t="str">
        <f t="shared" ref="AA323:AA369" si="69">IF(AND(Q323&gt;50000,S323="Sim"),"Negada","Aprovada")</f>
        <v>Aprovada</v>
      </c>
      <c r="AB323">
        <f>IF(AND(Z323="Negada",AA323="Negada"),"Já foi negado",IF(B323="Ativo",X323*8%,"Não liberado"))</f>
        <v>6760</v>
      </c>
    </row>
    <row r="324" spans="1:28">
      <c r="A324" t="s">
        <v>88</v>
      </c>
      <c r="B324" t="str">
        <f t="shared" si="61"/>
        <v>Ativo</v>
      </c>
      <c r="C324" t="str">
        <f t="shared" si="62"/>
        <v>Catelyn  Dayne</v>
      </c>
      <c r="D324" s="15" t="s">
        <v>764</v>
      </c>
      <c r="E324" s="16" t="s">
        <v>765</v>
      </c>
      <c r="F324" s="16" t="str">
        <f t="shared" ref="F324:F369" si="70">TEXT(E324,"000\.000\.000\-00")</f>
        <v>000.000.213-00</v>
      </c>
      <c r="G324">
        <v>68</v>
      </c>
      <c r="H324">
        <f t="shared" ca="1" si="59"/>
        <v>68</v>
      </c>
      <c r="I324" s="12">
        <v>21145</v>
      </c>
      <c r="J324" t="s">
        <v>95</v>
      </c>
      <c r="K324" t="str">
        <f t="shared" si="63"/>
        <v>Ponta Tempestade</v>
      </c>
      <c r="L324" t="s">
        <v>96</v>
      </c>
      <c r="M324" t="str" cm="1">
        <f t="array" ref="M324">PROPER(IF(L324&lt;&gt;"",L324,_xlfn.XLOOKUP(1,($K$2:$K$398=K324)*($L$2:$L$398&lt;&gt;""),$L$2:$L$398,"")))</f>
        <v>Terras Da Tempestade</v>
      </c>
      <c r="N324">
        <v>24500</v>
      </c>
      <c r="O324">
        <f t="shared" si="60"/>
        <v>24500</v>
      </c>
      <c r="P324">
        <v>16500</v>
      </c>
      <c r="Q324" s="17">
        <f t="shared" si="64"/>
        <v>16500</v>
      </c>
      <c r="R324" t="s">
        <v>49</v>
      </c>
      <c r="S324" t="str">
        <f t="shared" si="65"/>
        <v>Não</v>
      </c>
      <c r="T324">
        <v>22</v>
      </c>
      <c r="U324">
        <f t="shared" si="66"/>
        <v>22</v>
      </c>
      <c r="V324" t="s">
        <v>49</v>
      </c>
      <c r="W324">
        <v>34500</v>
      </c>
      <c r="X324">
        <f t="shared" si="67"/>
        <v>34500</v>
      </c>
      <c r="Y324" t="str">
        <f t="shared" si="68"/>
        <v>Médio</v>
      </c>
      <c r="Z324" t="str">
        <f>IF(AND(Y324="Alto",S324="Sim"),"Negada","Aprovada")</f>
        <v>Aprovada</v>
      </c>
      <c r="AA324" t="str">
        <f t="shared" si="69"/>
        <v>Aprovada</v>
      </c>
      <c r="AB324">
        <f>IF(AND(Z324="Negada",AA324="Negada"),"Já foi negado",IF(B324="Ativo",X324*8%,"Não liberado"))</f>
        <v>2760</v>
      </c>
    </row>
    <row r="325" spans="1:28">
      <c r="A325" t="s">
        <v>93</v>
      </c>
      <c r="B325" t="str">
        <f t="shared" si="61"/>
        <v>Inativo</v>
      </c>
      <c r="C325" t="str">
        <f t="shared" si="62"/>
        <v>Lyanna Tarth</v>
      </c>
      <c r="D325" s="15" t="s">
        <v>766</v>
      </c>
      <c r="E325" s="16" t="s">
        <v>767</v>
      </c>
      <c r="F325" s="16" t="str">
        <f t="shared" si="70"/>
        <v>000.000.345-00</v>
      </c>
      <c r="G325">
        <v>73</v>
      </c>
      <c r="H325" t="str">
        <f t="shared" ref="H325:H369" ca="1" si="71">IF(OR(I325="",I325="N/A"),"N/A",DATEDIF(I325,TODAY(),"Y"))</f>
        <v>N/A</v>
      </c>
      <c r="J325" t="s">
        <v>150</v>
      </c>
      <c r="K325" t="str">
        <f t="shared" si="63"/>
        <v>Castelo Negro</v>
      </c>
      <c r="L325" t="s">
        <v>151</v>
      </c>
      <c r="M325" t="str" cm="1">
        <f t="array" ref="M325">PROPER(IF(L325&lt;&gt;"",L325,_xlfn.XLOOKUP(1,($K$2:$K$398=K325)*($L$2:$L$398&lt;&gt;""),$L$2:$L$398,"")))</f>
        <v>Norte</v>
      </c>
      <c r="N325" t="s">
        <v>768</v>
      </c>
      <c r="O325">
        <f t="shared" si="60"/>
        <v>19900</v>
      </c>
      <c r="P325">
        <v>47000</v>
      </c>
      <c r="Q325" s="17">
        <f t="shared" si="64"/>
        <v>47000</v>
      </c>
      <c r="R325" t="s">
        <v>49</v>
      </c>
      <c r="S325" t="str">
        <f t="shared" si="65"/>
        <v>Não</v>
      </c>
      <c r="T325">
        <v>19</v>
      </c>
      <c r="U325">
        <f t="shared" si="66"/>
        <v>19</v>
      </c>
      <c r="V325" t="s">
        <v>49</v>
      </c>
      <c r="W325">
        <v>20500</v>
      </c>
      <c r="X325">
        <f t="shared" si="67"/>
        <v>20500</v>
      </c>
      <c r="Y325" t="str">
        <f t="shared" si="68"/>
        <v>Médio</v>
      </c>
      <c r="Z325" t="str">
        <f>IF(AND(Y325="Alto",S325="Sim"),"Negada","Aprovada")</f>
        <v>Aprovada</v>
      </c>
      <c r="AA325" t="str">
        <f t="shared" si="69"/>
        <v>Aprovada</v>
      </c>
      <c r="AB325" t="str">
        <f>IF(AND(Z325="Negada",AA325="Negada"),"Já foi negado",IF(B325="Ativo",X325*8%,"Não liberado"))</f>
        <v>Não liberado</v>
      </c>
    </row>
    <row r="326" spans="1:28">
      <c r="A326" t="s">
        <v>88</v>
      </c>
      <c r="B326" t="str">
        <f t="shared" si="61"/>
        <v>Ativo</v>
      </c>
      <c r="C326" t="str">
        <f t="shared" si="62"/>
        <v>Varys Lannister</v>
      </c>
      <c r="D326" s="15" t="s">
        <v>769</v>
      </c>
      <c r="E326" s="16" t="s">
        <v>770</v>
      </c>
      <c r="F326" s="16" t="str">
        <f t="shared" si="70"/>
        <v>000.000.367-00</v>
      </c>
      <c r="G326">
        <v>67</v>
      </c>
      <c r="H326">
        <f t="shared" ca="1" si="71"/>
        <v>67</v>
      </c>
      <c r="I326" s="12">
        <v>21497</v>
      </c>
      <c r="J326" t="s">
        <v>106</v>
      </c>
      <c r="K326" t="str">
        <f t="shared" si="63"/>
        <v>Pyke</v>
      </c>
      <c r="M326" t="str" cm="1">
        <f t="array" ref="M326">PROPER(IF(L326&lt;&gt;"",L326,_xlfn.XLOOKUP(1,($K$2:$K$398=K326)*($L$2:$L$398&lt;&gt;""),$L$2:$L$398,"")))</f>
        <v>Ilhas De Ferro</v>
      </c>
      <c r="N326" t="s">
        <v>771</v>
      </c>
      <c r="O326">
        <f t="shared" si="60"/>
        <v>21600</v>
      </c>
      <c r="P326" s="13">
        <v>73500</v>
      </c>
      <c r="Q326" s="17">
        <f t="shared" si="64"/>
        <v>73500</v>
      </c>
      <c r="R326" t="s">
        <v>50</v>
      </c>
      <c r="S326" t="str">
        <f t="shared" si="65"/>
        <v>Sim</v>
      </c>
      <c r="T326">
        <v>7</v>
      </c>
      <c r="U326">
        <f t="shared" si="66"/>
        <v>7</v>
      </c>
      <c r="V326" t="s">
        <v>50</v>
      </c>
      <c r="W326">
        <v>24500</v>
      </c>
      <c r="X326">
        <f t="shared" si="67"/>
        <v>24500</v>
      </c>
      <c r="Y326" t="str">
        <f t="shared" si="68"/>
        <v>Baixo</v>
      </c>
      <c r="Z326" t="str">
        <f>IF(AND(Y326="Alto",S326="Sim"),"Negada","Aprovada")</f>
        <v>Aprovada</v>
      </c>
      <c r="AA326" t="str">
        <f t="shared" si="69"/>
        <v>Negada</v>
      </c>
      <c r="AB326">
        <f>IF(AND(Z326="Negada",AA326="Negada"),"Já foi negado",IF(B326="Ativo",X326*8%,"Não liberado"))</f>
        <v>1960</v>
      </c>
    </row>
    <row r="327" spans="1:28">
      <c r="A327" t="s">
        <v>88</v>
      </c>
      <c r="B327" t="str">
        <f t="shared" si="61"/>
        <v>Ativo</v>
      </c>
      <c r="C327" t="str">
        <f t="shared" si="62"/>
        <v>Ellaria Targaryen</v>
      </c>
      <c r="D327" s="15" t="s">
        <v>772</v>
      </c>
      <c r="E327" s="16" t="s">
        <v>773</v>
      </c>
      <c r="F327" s="16" t="str">
        <f t="shared" si="70"/>
        <v>000.000.149-00</v>
      </c>
      <c r="G327">
        <v>54</v>
      </c>
      <c r="H327">
        <f t="shared" ca="1" si="71"/>
        <v>54</v>
      </c>
      <c r="I327" s="12">
        <v>26230</v>
      </c>
      <c r="J327" t="s">
        <v>171</v>
      </c>
      <c r="K327" t="str">
        <f t="shared" si="63"/>
        <v>Fosso Cailin</v>
      </c>
      <c r="L327" t="s">
        <v>164</v>
      </c>
      <c r="M327" t="str" cm="1">
        <f t="array" ref="M327">PROPER(IF(L327&lt;&gt;"",L327,_xlfn.XLOOKUP(1,($K$2:$K$398=K327)*($L$2:$L$398&lt;&gt;""),$L$2:$L$398,"")))</f>
        <v>Norte</v>
      </c>
      <c r="N327">
        <v>18700</v>
      </c>
      <c r="O327">
        <f t="shared" si="60"/>
        <v>18700</v>
      </c>
      <c r="P327">
        <v>46000</v>
      </c>
      <c r="Q327" s="17">
        <f t="shared" si="64"/>
        <v>46000</v>
      </c>
      <c r="R327" t="s">
        <v>50</v>
      </c>
      <c r="S327" t="str">
        <f t="shared" si="65"/>
        <v>Sim</v>
      </c>
      <c r="T327">
        <v>4</v>
      </c>
      <c r="U327">
        <f t="shared" si="66"/>
        <v>4</v>
      </c>
      <c r="V327" t="s">
        <v>50</v>
      </c>
      <c r="W327">
        <v>27500</v>
      </c>
      <c r="X327">
        <f t="shared" si="67"/>
        <v>27500</v>
      </c>
      <c r="Y327" t="str">
        <f t="shared" si="68"/>
        <v>Baixo</v>
      </c>
      <c r="Z327" t="str">
        <f>IF(AND(Y327="Alto",S327="Sim"),"Negada","Aprovada")</f>
        <v>Aprovada</v>
      </c>
      <c r="AA327" t="str">
        <f t="shared" si="69"/>
        <v>Aprovada</v>
      </c>
      <c r="AB327">
        <f>IF(AND(Z327="Negada",AA327="Negada"),"Já foi negado",IF(B327="Ativo",X327*8%,"Não liberado"))</f>
        <v>2200</v>
      </c>
    </row>
    <row r="328" spans="1:28">
      <c r="A328" t="s">
        <v>88</v>
      </c>
      <c r="B328" t="str">
        <f t="shared" si="61"/>
        <v>Ativo</v>
      </c>
      <c r="C328" t="str">
        <f t="shared" si="62"/>
        <v>Bronn Royce</v>
      </c>
      <c r="D328" s="15" t="s">
        <v>450</v>
      </c>
      <c r="E328" s="16">
        <v>36900</v>
      </c>
      <c r="F328" s="16" t="str">
        <f t="shared" si="70"/>
        <v>000.000.369-00</v>
      </c>
      <c r="G328">
        <v>61</v>
      </c>
      <c r="H328">
        <f t="shared" ca="1" si="71"/>
        <v>61</v>
      </c>
      <c r="I328" s="12">
        <v>23928</v>
      </c>
      <c r="J328" t="s">
        <v>312</v>
      </c>
      <c r="K328" t="str">
        <f t="shared" si="63"/>
        <v>Solar do Entardecer</v>
      </c>
      <c r="L328" t="s">
        <v>96</v>
      </c>
      <c r="M328" t="str" cm="1">
        <f t="array" ref="M328">PROPER(IF(L328&lt;&gt;"",L328,_xlfn.XLOOKUP(1,($K$2:$K$398=K328)*($L$2:$L$398&lt;&gt;""),$L$2:$L$398,"")))</f>
        <v>Terras Da Tempestade</v>
      </c>
      <c r="N328">
        <v>22900</v>
      </c>
      <c r="O328">
        <f t="shared" si="60"/>
        <v>22900</v>
      </c>
      <c r="P328">
        <v>7500</v>
      </c>
      <c r="Q328" s="17">
        <f t="shared" si="64"/>
        <v>7500</v>
      </c>
      <c r="R328" t="s">
        <v>49</v>
      </c>
      <c r="S328" t="str">
        <f t="shared" si="65"/>
        <v>Não</v>
      </c>
      <c r="T328">
        <v>12</v>
      </c>
      <c r="U328">
        <f t="shared" si="66"/>
        <v>12</v>
      </c>
      <c r="V328" t="s">
        <v>49</v>
      </c>
      <c r="W328">
        <v>33000</v>
      </c>
      <c r="X328">
        <f t="shared" si="67"/>
        <v>33000</v>
      </c>
      <c r="Y328" t="str">
        <f t="shared" si="68"/>
        <v>Médio</v>
      </c>
      <c r="Z328" t="str">
        <f>IF(AND(Y328="Alto",S328="Sim"),"Negada","Aprovada")</f>
        <v>Aprovada</v>
      </c>
      <c r="AA328" t="str">
        <f t="shared" si="69"/>
        <v>Aprovada</v>
      </c>
      <c r="AB328">
        <f>IF(AND(Z328="Negada",AA328="Negada"),"Já foi negado",IF(B328="Ativo",X328*8%,"Não liberado"))</f>
        <v>2640</v>
      </c>
    </row>
    <row r="329" spans="1:28">
      <c r="A329" t="s">
        <v>88</v>
      </c>
      <c r="B329" t="str">
        <f t="shared" si="61"/>
        <v>Ativo</v>
      </c>
      <c r="C329" t="str">
        <f t="shared" si="62"/>
        <v>Varys Lannister</v>
      </c>
      <c r="D329" s="15" t="s">
        <v>769</v>
      </c>
      <c r="E329" s="16" t="s">
        <v>774</v>
      </c>
      <c r="F329" s="16" t="str">
        <f t="shared" si="70"/>
        <v>000.000.010-00</v>
      </c>
      <c r="G329">
        <v>60</v>
      </c>
      <c r="H329">
        <f t="shared" ca="1" si="71"/>
        <v>60</v>
      </c>
      <c r="I329" s="12">
        <v>24054</v>
      </c>
      <c r="J329" t="s">
        <v>91</v>
      </c>
      <c r="K329" t="str">
        <f t="shared" si="63"/>
        <v>Ninho da Águia</v>
      </c>
      <c r="L329" t="s">
        <v>110</v>
      </c>
      <c r="M329" t="str" cm="1">
        <f t="array" ref="M329">PROPER(IF(L329&lt;&gt;"",L329,_xlfn.XLOOKUP(1,($K$2:$K$398=K329)*($L$2:$L$398&lt;&gt;""),$L$2:$L$398,"")))</f>
        <v>Vale</v>
      </c>
      <c r="N329">
        <v>22600</v>
      </c>
      <c r="O329">
        <f t="shared" si="60"/>
        <v>22600</v>
      </c>
      <c r="P329" t="s">
        <v>775</v>
      </c>
      <c r="Q329" s="17">
        <f t="shared" si="64"/>
        <v>80000</v>
      </c>
      <c r="R329" t="s">
        <v>49</v>
      </c>
      <c r="S329" t="str">
        <f t="shared" si="65"/>
        <v>Não</v>
      </c>
      <c r="T329">
        <v>9</v>
      </c>
      <c r="U329">
        <f t="shared" si="66"/>
        <v>9</v>
      </c>
      <c r="V329" t="s">
        <v>49</v>
      </c>
      <c r="W329">
        <v>58500</v>
      </c>
      <c r="X329">
        <f t="shared" si="67"/>
        <v>58500</v>
      </c>
      <c r="Y329" t="str">
        <f t="shared" si="68"/>
        <v>Baixo</v>
      </c>
      <c r="Z329" t="str">
        <f>IF(AND(Y329="Alto",S329="Sim"),"Negada","Aprovada")</f>
        <v>Aprovada</v>
      </c>
      <c r="AA329" t="str">
        <f t="shared" si="69"/>
        <v>Aprovada</v>
      </c>
      <c r="AB329">
        <f>IF(AND(Z329="Negada",AA329="Negada"),"Já foi negado",IF(B329="Ativo",X329*8%,"Não liberado"))</f>
        <v>4680</v>
      </c>
    </row>
    <row r="330" spans="1:28">
      <c r="A330" t="s">
        <v>88</v>
      </c>
      <c r="B330" t="str">
        <f t="shared" si="61"/>
        <v>Ativo</v>
      </c>
      <c r="C330" t="str">
        <f t="shared" si="62"/>
        <v>Rickon Karstark</v>
      </c>
      <c r="D330" s="15" t="s">
        <v>346</v>
      </c>
      <c r="E330" s="16">
        <v>36000</v>
      </c>
      <c r="F330" s="16" t="str">
        <f t="shared" si="70"/>
        <v>000.000.360-00</v>
      </c>
      <c r="G330">
        <v>26</v>
      </c>
      <c r="H330">
        <f t="shared" ca="1" si="71"/>
        <v>26</v>
      </c>
      <c r="I330" s="12">
        <v>36573</v>
      </c>
      <c r="J330" t="s">
        <v>709</v>
      </c>
      <c r="K330" t="str">
        <f t="shared" si="63"/>
        <v>Castelo Negro</v>
      </c>
      <c r="M330" t="str" cm="1">
        <f t="array" ref="M330">PROPER(IF(L330&lt;&gt;"",L330,_xlfn.XLOOKUP(1,($K$2:$K$398=K330)*($L$2:$L$398&lt;&gt;""),$L$2:$L$398,"")))</f>
        <v>Norte</v>
      </c>
      <c r="N330">
        <v>4800</v>
      </c>
      <c r="O330">
        <f t="shared" si="60"/>
        <v>4800</v>
      </c>
      <c r="P330" t="s">
        <v>776</v>
      </c>
      <c r="Q330" s="17">
        <f t="shared" si="64"/>
        <v>48500</v>
      </c>
      <c r="R330" t="s">
        <v>50</v>
      </c>
      <c r="S330" t="str">
        <f t="shared" si="65"/>
        <v>Sim</v>
      </c>
      <c r="T330">
        <v>6</v>
      </c>
      <c r="U330">
        <f t="shared" si="66"/>
        <v>6</v>
      </c>
      <c r="V330" t="s">
        <v>50</v>
      </c>
      <c r="W330">
        <v>56500</v>
      </c>
      <c r="X330">
        <f t="shared" si="67"/>
        <v>56500</v>
      </c>
      <c r="Y330" t="str">
        <f t="shared" si="68"/>
        <v>Baixo</v>
      </c>
      <c r="Z330" t="str">
        <f>IF(AND(Y330="Alto",S330="Sim"),"Negada","Aprovada")</f>
        <v>Aprovada</v>
      </c>
      <c r="AA330" t="str">
        <f t="shared" si="69"/>
        <v>Aprovada</v>
      </c>
      <c r="AB330">
        <f>IF(AND(Z330="Negada",AA330="Negada"),"Já foi negado",IF(B330="Ativo",X330*8%,"Não liberado"))</f>
        <v>4520</v>
      </c>
    </row>
    <row r="331" spans="1:28">
      <c r="A331" t="s">
        <v>93</v>
      </c>
      <c r="B331" t="str">
        <f t="shared" si="61"/>
        <v>Inativo</v>
      </c>
      <c r="C331" t="str">
        <f t="shared" si="62"/>
        <v>Bronn Baratheon</v>
      </c>
      <c r="D331" s="15" t="s">
        <v>777</v>
      </c>
      <c r="E331" s="16">
        <v>32500</v>
      </c>
      <c r="F331" s="16" t="str">
        <f t="shared" si="70"/>
        <v>000.000.325-00</v>
      </c>
      <c r="G331">
        <v>48</v>
      </c>
      <c r="H331">
        <f t="shared" ca="1" si="71"/>
        <v>48</v>
      </c>
      <c r="I331" s="12">
        <v>28446</v>
      </c>
      <c r="J331" t="s">
        <v>100</v>
      </c>
      <c r="K331" t="str">
        <f t="shared" si="63"/>
        <v>Pedra do Dragão</v>
      </c>
      <c r="L331" t="s">
        <v>341</v>
      </c>
      <c r="M331" t="str" cm="1">
        <f t="array" ref="M331">PROPER(IF(L331&lt;&gt;"",L331,_xlfn.XLOOKUP(1,($K$2:$K$398=K331)*($L$2:$L$398&lt;&gt;""),$L$2:$L$398,"")))</f>
        <v>Terras Da Coroa</v>
      </c>
      <c r="N331">
        <v>6900</v>
      </c>
      <c r="O331">
        <f t="shared" si="60"/>
        <v>6900</v>
      </c>
      <c r="P331">
        <v>52500</v>
      </c>
      <c r="Q331" s="17">
        <f t="shared" si="64"/>
        <v>52500</v>
      </c>
      <c r="R331" t="s">
        <v>50</v>
      </c>
      <c r="S331" t="str">
        <f t="shared" si="65"/>
        <v>Sim</v>
      </c>
      <c r="T331">
        <v>0</v>
      </c>
      <c r="U331">
        <f t="shared" si="66"/>
        <v>0</v>
      </c>
      <c r="V331" t="s">
        <v>50</v>
      </c>
      <c r="W331">
        <v>66000</v>
      </c>
      <c r="X331">
        <f t="shared" si="67"/>
        <v>66000</v>
      </c>
      <c r="Y331" t="str">
        <f t="shared" si="68"/>
        <v>Baixo</v>
      </c>
      <c r="Z331" t="str">
        <f>IF(AND(Y331="Alto",S331="Sim"),"Negada","Aprovada")</f>
        <v>Aprovada</v>
      </c>
      <c r="AA331" t="str">
        <f t="shared" si="69"/>
        <v>Negada</v>
      </c>
      <c r="AB331" t="str">
        <f>IF(AND(Z331="Negada",AA331="Negada"),"Já foi negado",IF(B331="Ativo",X331*8%,"Não liberado"))</f>
        <v>Não liberado</v>
      </c>
    </row>
    <row r="332" spans="1:28">
      <c r="A332" t="s">
        <v>88</v>
      </c>
      <c r="B332" t="str">
        <f t="shared" si="61"/>
        <v>Ativo</v>
      </c>
      <c r="C332" t="str">
        <f t="shared" si="62"/>
        <v>Jojen Dayne</v>
      </c>
      <c r="D332" s="15" t="s">
        <v>778</v>
      </c>
      <c r="E332" s="16" t="s">
        <v>779</v>
      </c>
      <c r="F332" s="16" t="str">
        <f t="shared" si="70"/>
        <v>000.000.199-00</v>
      </c>
      <c r="G332">
        <v>69</v>
      </c>
      <c r="H332" t="str">
        <f t="shared" ca="1" si="71"/>
        <v>N/A</v>
      </c>
      <c r="J332" t="s">
        <v>312</v>
      </c>
      <c r="K332" t="str">
        <f t="shared" si="63"/>
        <v>Solar do Entardecer</v>
      </c>
      <c r="L332" t="s">
        <v>197</v>
      </c>
      <c r="M332" t="str" cm="1">
        <f t="array" ref="M332">PROPER(IF(L332&lt;&gt;"",L332,_xlfn.XLOOKUP(1,($K$2:$K$398=K332)*($L$2:$L$398&lt;&gt;""),$L$2:$L$398,"")))</f>
        <v>Terras Da Tempestade</v>
      </c>
      <c r="N332">
        <v>11400</v>
      </c>
      <c r="O332">
        <f t="shared" si="60"/>
        <v>11400</v>
      </c>
      <c r="P332">
        <v>0</v>
      </c>
      <c r="Q332" s="17">
        <f t="shared" si="64"/>
        <v>0</v>
      </c>
      <c r="R332" t="s">
        <v>191</v>
      </c>
      <c r="S332" t="str">
        <f t="shared" si="65"/>
        <v>Sim</v>
      </c>
      <c r="T332">
        <v>13</v>
      </c>
      <c r="U332">
        <f t="shared" si="66"/>
        <v>13</v>
      </c>
      <c r="V332" t="s">
        <v>191</v>
      </c>
      <c r="W332">
        <v>79000</v>
      </c>
      <c r="X332">
        <f t="shared" si="67"/>
        <v>79000</v>
      </c>
      <c r="Y332" t="str">
        <f t="shared" si="68"/>
        <v>Médio</v>
      </c>
      <c r="Z332" t="str">
        <f>IF(AND(Y332="Alto",S332="Sim"),"Negada","Aprovada")</f>
        <v>Aprovada</v>
      </c>
      <c r="AA332" t="str">
        <f t="shared" si="69"/>
        <v>Aprovada</v>
      </c>
      <c r="AB332">
        <f>IF(AND(Z332="Negada",AA332="Negada"),"Já foi negado",IF(B332="Ativo",X332*8%,"Não liberado"))</f>
        <v>6320</v>
      </c>
    </row>
    <row r="333" spans="1:28">
      <c r="A333" t="s">
        <v>88</v>
      </c>
      <c r="B333" t="str">
        <f t="shared" si="61"/>
        <v>Ativo</v>
      </c>
      <c r="C333" t="str">
        <f t="shared" si="62"/>
        <v>Podrick Dayne</v>
      </c>
      <c r="D333" s="15" t="s">
        <v>156</v>
      </c>
      <c r="E333" s="16">
        <v>22300</v>
      </c>
      <c r="F333" s="16" t="str">
        <f t="shared" si="70"/>
        <v>000.000.223-00</v>
      </c>
      <c r="G333">
        <v>25</v>
      </c>
      <c r="H333">
        <f t="shared" ca="1" si="71"/>
        <v>25</v>
      </c>
      <c r="I333" s="12">
        <v>36831</v>
      </c>
      <c r="J333" t="s">
        <v>157</v>
      </c>
      <c r="K333" t="str">
        <f t="shared" si="63"/>
        <v>Vilavelha</v>
      </c>
      <c r="L333" t="s">
        <v>158</v>
      </c>
      <c r="M333" t="str" cm="1">
        <f t="array" ref="M333">PROPER(IF(L333&lt;&gt;"",L333,_xlfn.XLOOKUP(1,($K$2:$K$398=K333)*($L$2:$L$398&lt;&gt;""),$L$2:$L$398,"")))</f>
        <v>Campina</v>
      </c>
      <c r="N333" s="14">
        <v>9400</v>
      </c>
      <c r="O333">
        <f t="shared" si="60"/>
        <v>9400</v>
      </c>
      <c r="P333">
        <v>51500</v>
      </c>
      <c r="Q333" s="17">
        <f t="shared" si="64"/>
        <v>51500</v>
      </c>
      <c r="R333" t="s">
        <v>49</v>
      </c>
      <c r="S333" t="str">
        <f t="shared" si="65"/>
        <v>Não</v>
      </c>
      <c r="T333">
        <v>14</v>
      </c>
      <c r="U333">
        <f t="shared" si="66"/>
        <v>14</v>
      </c>
      <c r="V333" t="s">
        <v>49</v>
      </c>
      <c r="W333">
        <v>74000</v>
      </c>
      <c r="X333">
        <f t="shared" si="67"/>
        <v>74000</v>
      </c>
      <c r="Y333" t="str">
        <f t="shared" si="68"/>
        <v>Médio</v>
      </c>
      <c r="Z333" t="str">
        <f>IF(AND(Y333="Alto",S333="Sim"),"Negada","Aprovada")</f>
        <v>Aprovada</v>
      </c>
      <c r="AA333" t="str">
        <f t="shared" si="69"/>
        <v>Aprovada</v>
      </c>
      <c r="AB333">
        <f>IF(AND(Z333="Negada",AA333="Negada"),"Já foi negado",IF(B333="Ativo",X333*8%,"Não liberado"))</f>
        <v>5920</v>
      </c>
    </row>
    <row r="334" spans="1:28">
      <c r="A334" t="s">
        <v>88</v>
      </c>
      <c r="B334" t="str">
        <f t="shared" si="61"/>
        <v>Ativo</v>
      </c>
      <c r="C334" t="str">
        <f t="shared" si="62"/>
        <v>Sandor Clegane</v>
      </c>
      <c r="D334" s="15" t="s">
        <v>780</v>
      </c>
      <c r="E334" s="16" t="s">
        <v>781</v>
      </c>
      <c r="F334" s="16" t="str">
        <f t="shared" si="70"/>
        <v>000.000.164-00</v>
      </c>
      <c r="G334">
        <v>62</v>
      </c>
      <c r="H334">
        <f t="shared" ca="1" si="71"/>
        <v>62</v>
      </c>
      <c r="I334" s="12">
        <v>23317</v>
      </c>
      <c r="J334" t="s">
        <v>179</v>
      </c>
      <c r="K334" t="str">
        <f t="shared" si="63"/>
        <v>Winterfell</v>
      </c>
      <c r="L334" t="s">
        <v>151</v>
      </c>
      <c r="M334" t="str" cm="1">
        <f t="array" ref="M334">PROPER(IF(L334&lt;&gt;"",L334,_xlfn.XLOOKUP(1,($K$2:$K$398=K334)*($L$2:$L$398&lt;&gt;""),$L$2:$L$398,"")))</f>
        <v>Norte</v>
      </c>
      <c r="N334">
        <v>10500</v>
      </c>
      <c r="O334">
        <f t="shared" si="60"/>
        <v>10500</v>
      </c>
      <c r="P334">
        <v>0</v>
      </c>
      <c r="Q334" s="17">
        <f t="shared" si="64"/>
        <v>0</v>
      </c>
      <c r="R334" t="s">
        <v>50</v>
      </c>
      <c r="S334" t="str">
        <f t="shared" si="65"/>
        <v>Sim</v>
      </c>
      <c r="T334" t="s">
        <v>657</v>
      </c>
      <c r="U334">
        <f t="shared" si="66"/>
        <v>4</v>
      </c>
      <c r="V334" t="s">
        <v>50</v>
      </c>
      <c r="W334">
        <v>54500</v>
      </c>
      <c r="X334">
        <f t="shared" si="67"/>
        <v>54500</v>
      </c>
      <c r="Y334" t="str">
        <f t="shared" si="68"/>
        <v>Baixo</v>
      </c>
      <c r="Z334" t="str">
        <f>IF(AND(Y334="Alto",S334="Sim"),"Negada","Aprovada")</f>
        <v>Aprovada</v>
      </c>
      <c r="AA334" t="str">
        <f t="shared" si="69"/>
        <v>Aprovada</v>
      </c>
      <c r="AB334">
        <f>IF(AND(Z334="Negada",AA334="Negada"),"Já foi negado",IF(B334="Ativo",X334*8%,"Não liberado"))</f>
        <v>4360</v>
      </c>
    </row>
    <row r="335" spans="1:28">
      <c r="A335" t="s">
        <v>88</v>
      </c>
      <c r="B335" t="str">
        <f t="shared" si="61"/>
        <v>Ativo</v>
      </c>
      <c r="C335" t="str">
        <f t="shared" si="62"/>
        <v>Thoros Westerling</v>
      </c>
      <c r="D335" s="15" t="s">
        <v>782</v>
      </c>
      <c r="E335" s="16">
        <v>25700</v>
      </c>
      <c r="F335" s="16" t="str">
        <f t="shared" si="70"/>
        <v>000.000.257-00</v>
      </c>
      <c r="G335">
        <v>27</v>
      </c>
      <c r="H335">
        <f t="shared" ca="1" si="71"/>
        <v>27</v>
      </c>
      <c r="I335" s="12">
        <v>36152</v>
      </c>
      <c r="J335" t="s">
        <v>182</v>
      </c>
      <c r="K335" t="str">
        <f t="shared" si="63"/>
        <v>Jardim de Cima</v>
      </c>
      <c r="L335" t="s">
        <v>222</v>
      </c>
      <c r="M335" t="str" cm="1">
        <f t="array" ref="M335">PROPER(IF(L335&lt;&gt;"",L335,_xlfn.XLOOKUP(1,($K$2:$K$398=K335)*($L$2:$L$398&lt;&gt;""),$L$2:$L$398,"")))</f>
        <v>Campina</v>
      </c>
      <c r="N335">
        <v>30000</v>
      </c>
      <c r="O335">
        <f t="shared" si="60"/>
        <v>30000</v>
      </c>
      <c r="P335" s="14">
        <v>27000</v>
      </c>
      <c r="Q335" s="17">
        <f t="shared" si="64"/>
        <v>27000</v>
      </c>
      <c r="R335" t="s">
        <v>49</v>
      </c>
      <c r="S335" t="str">
        <f t="shared" si="65"/>
        <v>Não</v>
      </c>
      <c r="T335">
        <v>28</v>
      </c>
      <c r="U335">
        <f t="shared" si="66"/>
        <v>28</v>
      </c>
      <c r="V335" t="s">
        <v>49</v>
      </c>
      <c r="W335">
        <v>28500</v>
      </c>
      <c r="X335">
        <f t="shared" si="67"/>
        <v>28500</v>
      </c>
      <c r="Y335" t="str">
        <f t="shared" si="68"/>
        <v>Alto</v>
      </c>
      <c r="Z335" t="str">
        <f>IF(AND(Y335="Alto",S335="Sim"),"Negada","Aprovada")</f>
        <v>Aprovada</v>
      </c>
      <c r="AA335" t="str">
        <f t="shared" si="69"/>
        <v>Aprovada</v>
      </c>
      <c r="AB335">
        <f>IF(AND(Z335="Negada",AA335="Negada"),"Já foi negado",IF(B335="Ativo",X335*8%,"Não liberado"))</f>
        <v>2280</v>
      </c>
    </row>
    <row r="336" spans="1:28">
      <c r="A336" t="s">
        <v>88</v>
      </c>
      <c r="B336" t="str">
        <f t="shared" si="61"/>
        <v>Ativo</v>
      </c>
      <c r="C336" t="str">
        <f t="shared" si="62"/>
        <v>Stannis Westerling</v>
      </c>
      <c r="D336" s="15" t="s">
        <v>783</v>
      </c>
      <c r="E336" s="16" t="s">
        <v>784</v>
      </c>
      <c r="F336" s="16" t="str">
        <f t="shared" si="70"/>
        <v>000.000.071-00</v>
      </c>
      <c r="H336">
        <f t="shared" ca="1" si="71"/>
        <v>31</v>
      </c>
      <c r="I336" s="12">
        <v>34769</v>
      </c>
      <c r="J336" t="s">
        <v>113</v>
      </c>
      <c r="K336" t="str">
        <f t="shared" si="63"/>
        <v>Lannisporto</v>
      </c>
      <c r="L336" t="s">
        <v>203</v>
      </c>
      <c r="M336" t="str" cm="1">
        <f t="array" ref="M336">PROPER(IF(L336&lt;&gt;"",L336,_xlfn.XLOOKUP(1,($K$2:$K$398=K336)*($L$2:$L$398&lt;&gt;""),$L$2:$L$398,"")))</f>
        <v>Oeste</v>
      </c>
      <c r="N336">
        <v>9000</v>
      </c>
      <c r="O336">
        <f t="shared" si="60"/>
        <v>9000</v>
      </c>
      <c r="P336">
        <v>66000</v>
      </c>
      <c r="Q336" s="17">
        <f t="shared" si="64"/>
        <v>66000</v>
      </c>
      <c r="R336" t="s">
        <v>49</v>
      </c>
      <c r="S336" t="str">
        <f t="shared" si="65"/>
        <v>Não</v>
      </c>
      <c r="T336">
        <v>24</v>
      </c>
      <c r="U336">
        <f t="shared" si="66"/>
        <v>24</v>
      </c>
      <c r="V336" t="s">
        <v>49</v>
      </c>
      <c r="W336">
        <v>72000</v>
      </c>
      <c r="X336">
        <f t="shared" si="67"/>
        <v>72000</v>
      </c>
      <c r="Y336" t="str">
        <f t="shared" si="68"/>
        <v>Médio</v>
      </c>
      <c r="Z336" t="str">
        <f>IF(AND(Y336="Alto",S336="Sim"),"Negada","Aprovada")</f>
        <v>Aprovada</v>
      </c>
      <c r="AA336" t="str">
        <f t="shared" si="69"/>
        <v>Aprovada</v>
      </c>
      <c r="AB336">
        <f>IF(AND(Z336="Negada",AA336="Negada"),"Já foi negado",IF(B336="Ativo",X336*8%,"Não liberado"))</f>
        <v>5760</v>
      </c>
    </row>
    <row r="337" spans="1:28">
      <c r="A337" t="s">
        <v>93</v>
      </c>
      <c r="B337" t="str">
        <f t="shared" si="61"/>
        <v>Inativo</v>
      </c>
      <c r="C337" t="str">
        <f t="shared" si="62"/>
        <v>Davos Tyrell</v>
      </c>
      <c r="D337" s="15" t="s">
        <v>277</v>
      </c>
      <c r="E337" s="16" t="s">
        <v>785</v>
      </c>
      <c r="F337" s="16" t="str">
        <f t="shared" si="70"/>
        <v>000.000.079-00</v>
      </c>
      <c r="G337">
        <v>65</v>
      </c>
      <c r="H337">
        <f t="shared" ca="1" si="71"/>
        <v>65</v>
      </c>
      <c r="I337" s="12">
        <v>22275</v>
      </c>
      <c r="J337" t="s">
        <v>91</v>
      </c>
      <c r="K337" t="str">
        <f t="shared" si="63"/>
        <v>Ninho da Águia</v>
      </c>
      <c r="L337" t="s">
        <v>92</v>
      </c>
      <c r="M337" t="str" cm="1">
        <f t="array" ref="M337">PROPER(IF(L337&lt;&gt;"",L337,_xlfn.XLOOKUP(1,($K$2:$K$398=K337)*($L$2:$L$398&lt;&gt;""),$L$2:$L$398,"")))</f>
        <v>Vale</v>
      </c>
      <c r="N337">
        <v>3300</v>
      </c>
      <c r="O337">
        <f t="shared" si="60"/>
        <v>3300</v>
      </c>
      <c r="P337">
        <v>43500</v>
      </c>
      <c r="Q337" s="17">
        <f t="shared" si="64"/>
        <v>43500</v>
      </c>
      <c r="R337" t="s">
        <v>49</v>
      </c>
      <c r="S337" t="str">
        <f t="shared" si="65"/>
        <v>Não</v>
      </c>
      <c r="T337" t="s">
        <v>214</v>
      </c>
      <c r="U337">
        <f t="shared" si="66"/>
        <v>27</v>
      </c>
      <c r="V337" t="s">
        <v>49</v>
      </c>
      <c r="W337">
        <v>23500</v>
      </c>
      <c r="X337">
        <f t="shared" si="67"/>
        <v>23500</v>
      </c>
      <c r="Y337" t="str">
        <f t="shared" si="68"/>
        <v>Alto</v>
      </c>
      <c r="Z337" t="str">
        <f>IF(AND(Y337="Alto",S337="Sim"),"Negada","Aprovada")</f>
        <v>Aprovada</v>
      </c>
      <c r="AA337" t="str">
        <f t="shared" si="69"/>
        <v>Aprovada</v>
      </c>
      <c r="AB337" t="str">
        <f>IF(AND(Z337="Negada",AA337="Negada"),"Já foi negado",IF(B337="Ativo",X337*8%,"Não liberado"))</f>
        <v>Não liberado</v>
      </c>
    </row>
    <row r="338" spans="1:28">
      <c r="A338" t="s">
        <v>88</v>
      </c>
      <c r="B338" t="str">
        <f t="shared" si="61"/>
        <v>Ativo</v>
      </c>
      <c r="C338" t="str">
        <f t="shared" si="62"/>
        <v>Melisandre Cerwyn</v>
      </c>
      <c r="D338" s="15" t="s">
        <v>786</v>
      </c>
      <c r="E338" s="16" t="s">
        <v>787</v>
      </c>
      <c r="F338" s="16" t="str">
        <f t="shared" si="70"/>
        <v>000.000.120-00</v>
      </c>
      <c r="G338">
        <v>29</v>
      </c>
      <c r="H338">
        <f t="shared" ca="1" si="71"/>
        <v>29</v>
      </c>
      <c r="I338" s="12">
        <v>35392</v>
      </c>
      <c r="J338" t="s">
        <v>254</v>
      </c>
      <c r="K338" t="str">
        <f t="shared" si="63"/>
        <v>Atalaia da �gua Cinzenta</v>
      </c>
      <c r="M338" t="str" cm="1">
        <f t="array" ref="M338">PROPER(IF(L338&lt;&gt;"",L338,_xlfn.XLOOKUP(1,($K$2:$K$398=K338)*($L$2:$L$398&lt;&gt;""),$L$2:$L$398,"")))</f>
        <v>Gargalo</v>
      </c>
      <c r="N338" t="s">
        <v>788</v>
      </c>
      <c r="O338">
        <f t="shared" si="60"/>
        <v>6400</v>
      </c>
      <c r="P338">
        <v>19500</v>
      </c>
      <c r="Q338" s="17">
        <f t="shared" si="64"/>
        <v>19500</v>
      </c>
      <c r="R338" t="s">
        <v>49</v>
      </c>
      <c r="S338" t="str">
        <f t="shared" si="65"/>
        <v>Não</v>
      </c>
      <c r="T338">
        <v>30</v>
      </c>
      <c r="U338">
        <f t="shared" si="66"/>
        <v>30</v>
      </c>
      <c r="V338" t="s">
        <v>49</v>
      </c>
      <c r="W338">
        <v>51000</v>
      </c>
      <c r="X338">
        <f t="shared" si="67"/>
        <v>51000</v>
      </c>
      <c r="Y338" t="str">
        <f t="shared" si="68"/>
        <v>Alto</v>
      </c>
      <c r="Z338" t="str">
        <f>IF(AND(Y338="Alto",S338="Sim"),"Negada","Aprovada")</f>
        <v>Aprovada</v>
      </c>
      <c r="AA338" t="str">
        <f t="shared" si="69"/>
        <v>Aprovada</v>
      </c>
      <c r="AB338">
        <f>IF(AND(Z338="Negada",AA338="Negada"),"Já foi negado",IF(B338="Ativo",X338*8%,"Não liberado"))</f>
        <v>4080</v>
      </c>
    </row>
    <row r="339" spans="1:28">
      <c r="A339" t="s">
        <v>88</v>
      </c>
      <c r="B339" t="str">
        <f t="shared" si="61"/>
        <v>Ativo</v>
      </c>
      <c r="C339" t="str">
        <f t="shared" si="62"/>
        <v>Thoros  Frey</v>
      </c>
      <c r="D339" s="15" t="s">
        <v>789</v>
      </c>
      <c r="E339" s="16" t="s">
        <v>790</v>
      </c>
      <c r="F339" s="16" t="str">
        <f t="shared" si="70"/>
        <v>000.000.113-00</v>
      </c>
      <c r="G339">
        <v>55</v>
      </c>
      <c r="H339">
        <f t="shared" ca="1" si="71"/>
        <v>55</v>
      </c>
      <c r="I339" s="12">
        <v>25844</v>
      </c>
      <c r="J339" t="s">
        <v>182</v>
      </c>
      <c r="K339" t="str">
        <f t="shared" si="63"/>
        <v>Jardim de Cima</v>
      </c>
      <c r="L339" t="s">
        <v>222</v>
      </c>
      <c r="M339" t="str" cm="1">
        <f t="array" ref="M339">PROPER(IF(L339&lt;&gt;"",L339,_xlfn.XLOOKUP(1,($K$2:$K$398=K339)*($L$2:$L$398&lt;&gt;""),$L$2:$L$398,"")))</f>
        <v>Campina</v>
      </c>
      <c r="N339" s="14">
        <v>17400</v>
      </c>
      <c r="O339">
        <f t="shared" si="60"/>
        <v>17400</v>
      </c>
      <c r="P339" s="13">
        <v>75500</v>
      </c>
      <c r="Q339" s="17">
        <f t="shared" si="64"/>
        <v>75500</v>
      </c>
      <c r="R339" t="s">
        <v>49</v>
      </c>
      <c r="S339" t="str">
        <f t="shared" si="65"/>
        <v>Não</v>
      </c>
      <c r="T339">
        <v>9</v>
      </c>
      <c r="U339">
        <f t="shared" si="66"/>
        <v>9</v>
      </c>
      <c r="V339" t="s">
        <v>49</v>
      </c>
      <c r="W339">
        <v>52000</v>
      </c>
      <c r="X339">
        <f t="shared" si="67"/>
        <v>52000</v>
      </c>
      <c r="Y339" t="str">
        <f t="shared" si="68"/>
        <v>Baixo</v>
      </c>
      <c r="Z339" t="str">
        <f>IF(AND(Y339="Alto",S339="Sim"),"Negada","Aprovada")</f>
        <v>Aprovada</v>
      </c>
      <c r="AA339" t="str">
        <f t="shared" si="69"/>
        <v>Aprovada</v>
      </c>
      <c r="AB339">
        <f>IF(AND(Z339="Negada",AA339="Negada"),"Já foi negado",IF(B339="Ativo",X339*8%,"Não liberado"))</f>
        <v>4160</v>
      </c>
    </row>
    <row r="340" spans="1:28">
      <c r="A340" t="s">
        <v>93</v>
      </c>
      <c r="B340" t="str">
        <f t="shared" si="61"/>
        <v>Inativo</v>
      </c>
      <c r="C340" t="str">
        <f t="shared" si="62"/>
        <v>Missandei Glover</v>
      </c>
      <c r="D340" s="15" t="s">
        <v>613</v>
      </c>
      <c r="E340" s="16">
        <v>34000</v>
      </c>
      <c r="F340" s="16" t="str">
        <f t="shared" si="70"/>
        <v>000.000.340-00</v>
      </c>
      <c r="G340">
        <v>38</v>
      </c>
      <c r="H340">
        <f t="shared" ca="1" si="71"/>
        <v>38</v>
      </c>
      <c r="I340" s="12">
        <v>32118</v>
      </c>
      <c r="J340" t="s">
        <v>95</v>
      </c>
      <c r="K340" t="str">
        <f t="shared" si="63"/>
        <v>Ponta Tempestade</v>
      </c>
      <c r="L340" t="s">
        <v>144</v>
      </c>
      <c r="M340" t="str" cm="1">
        <f t="array" ref="M340">PROPER(IF(L340&lt;&gt;"",L340,_xlfn.XLOOKUP(1,($K$2:$K$398=K340)*($L$2:$L$398&lt;&gt;""),$L$2:$L$398,"")))</f>
        <v>Terras Da Tempestade</v>
      </c>
      <c r="N340" s="14">
        <v>15800</v>
      </c>
      <c r="O340">
        <f t="shared" si="60"/>
        <v>15800</v>
      </c>
      <c r="P340">
        <v>14500</v>
      </c>
      <c r="Q340" s="17">
        <f t="shared" si="64"/>
        <v>14500</v>
      </c>
      <c r="R340" t="s">
        <v>49</v>
      </c>
      <c r="S340" t="str">
        <f t="shared" si="65"/>
        <v>Não</v>
      </c>
      <c r="T340">
        <v>4</v>
      </c>
      <c r="U340">
        <f t="shared" si="66"/>
        <v>4</v>
      </c>
      <c r="V340" t="s">
        <v>49</v>
      </c>
      <c r="W340">
        <v>21000</v>
      </c>
      <c r="X340">
        <f t="shared" si="67"/>
        <v>21000</v>
      </c>
      <c r="Y340" t="str">
        <f t="shared" si="68"/>
        <v>Baixo</v>
      </c>
      <c r="Z340" t="str">
        <f>IF(AND(Y340="Alto",S340="Sim"),"Negada","Aprovada")</f>
        <v>Aprovada</v>
      </c>
      <c r="AA340" t="str">
        <f t="shared" si="69"/>
        <v>Aprovada</v>
      </c>
      <c r="AB340" t="str">
        <f>IF(AND(Z340="Negada",AA340="Negada"),"Já foi negado",IF(B340="Ativo",X340*8%,"Não liberado"))</f>
        <v>Não liberado</v>
      </c>
    </row>
    <row r="341" spans="1:28">
      <c r="A341" t="s">
        <v>88</v>
      </c>
      <c r="B341" t="str">
        <f t="shared" si="61"/>
        <v>Ativo</v>
      </c>
      <c r="C341" t="str">
        <f t="shared" si="62"/>
        <v>Gilly Glover</v>
      </c>
      <c r="D341" s="15" t="s">
        <v>791</v>
      </c>
      <c r="E341" s="16">
        <v>2200</v>
      </c>
      <c r="F341" s="16" t="str">
        <f t="shared" si="70"/>
        <v>000.000.022-00</v>
      </c>
      <c r="G341">
        <v>58</v>
      </c>
      <c r="H341">
        <f t="shared" ca="1" si="71"/>
        <v>58</v>
      </c>
      <c r="I341" s="12">
        <v>24840</v>
      </c>
      <c r="J341" t="s">
        <v>254</v>
      </c>
      <c r="K341" t="str">
        <f t="shared" si="63"/>
        <v>Atalaia da �gua Cinzenta</v>
      </c>
      <c r="L341" t="s">
        <v>255</v>
      </c>
      <c r="M341" t="str" cm="1">
        <f t="array" ref="M341">PROPER(IF(L341&lt;&gt;"",L341,_xlfn.XLOOKUP(1,($K$2:$K$398=K341)*($L$2:$L$398&lt;&gt;""),$L$2:$L$398,"")))</f>
        <v>Gargalo</v>
      </c>
      <c r="N341" s="13">
        <v>2800</v>
      </c>
      <c r="O341">
        <f t="shared" si="60"/>
        <v>2800</v>
      </c>
      <c r="P341" s="13">
        <v>35000</v>
      </c>
      <c r="Q341" s="17">
        <f t="shared" si="64"/>
        <v>35000</v>
      </c>
      <c r="R341" t="s">
        <v>49</v>
      </c>
      <c r="S341" t="str">
        <f t="shared" si="65"/>
        <v>Não</v>
      </c>
      <c r="T341">
        <v>36</v>
      </c>
      <c r="U341">
        <f t="shared" si="66"/>
        <v>36</v>
      </c>
      <c r="V341" t="s">
        <v>49</v>
      </c>
      <c r="W341">
        <v>9000</v>
      </c>
      <c r="X341">
        <f t="shared" si="67"/>
        <v>9000</v>
      </c>
      <c r="Y341" t="str">
        <f t="shared" si="68"/>
        <v>Alto</v>
      </c>
      <c r="Z341" t="str">
        <f>IF(AND(Y341="Alto",S341="Sim"),"Negada","Aprovada")</f>
        <v>Aprovada</v>
      </c>
      <c r="AA341" t="str">
        <f t="shared" si="69"/>
        <v>Aprovada</v>
      </c>
      <c r="AB341">
        <f>IF(AND(Z341="Negada",AA341="Negada"),"Já foi negado",IF(B341="Ativo",X341*8%,"Não liberado"))</f>
        <v>720</v>
      </c>
    </row>
    <row r="342" spans="1:28">
      <c r="A342" t="s">
        <v>88</v>
      </c>
      <c r="B342" t="str">
        <f t="shared" si="61"/>
        <v>Ativo</v>
      </c>
      <c r="C342" t="str">
        <f t="shared" si="62"/>
        <v>Robb Reed</v>
      </c>
      <c r="D342" s="15" t="s">
        <v>792</v>
      </c>
      <c r="E342" s="16" t="s">
        <v>793</v>
      </c>
      <c r="F342" s="16" t="str">
        <f t="shared" si="70"/>
        <v>000.000.246-00</v>
      </c>
      <c r="H342">
        <f t="shared" ca="1" si="71"/>
        <v>29</v>
      </c>
      <c r="I342" s="12">
        <v>35600</v>
      </c>
      <c r="J342" t="s">
        <v>178</v>
      </c>
      <c r="K342" t="str">
        <f t="shared" si="63"/>
        <v>Harrenhal</v>
      </c>
      <c r="L342" t="s">
        <v>148</v>
      </c>
      <c r="M342" t="str" cm="1">
        <f t="array" ref="M342">PROPER(IF(L342&lt;&gt;"",L342,_xlfn.XLOOKUP(1,($K$2:$K$398=K342)*($L$2:$L$398&lt;&gt;""),$L$2:$L$398,"")))</f>
        <v>Terras Fluviais</v>
      </c>
      <c r="N342">
        <v>9600</v>
      </c>
      <c r="O342">
        <f t="shared" ref="O342:O369" si="72">IF(N342="","Não informado",IFERROR(VALUE(SUBSTITUTE(SUBSTITUTE(N342,"R$ ","")," moedas","")),N342))</f>
        <v>9600</v>
      </c>
      <c r="P342" s="13">
        <v>41000</v>
      </c>
      <c r="Q342" s="17">
        <f t="shared" si="64"/>
        <v>41000</v>
      </c>
      <c r="R342" t="s">
        <v>49</v>
      </c>
      <c r="S342" t="str">
        <f t="shared" si="65"/>
        <v>Não</v>
      </c>
      <c r="T342">
        <v>27</v>
      </c>
      <c r="U342">
        <f t="shared" si="66"/>
        <v>27</v>
      </c>
      <c r="V342" t="s">
        <v>49</v>
      </c>
      <c r="W342">
        <v>25000</v>
      </c>
      <c r="X342">
        <f t="shared" si="67"/>
        <v>25000</v>
      </c>
      <c r="Y342" t="str">
        <f t="shared" si="68"/>
        <v>Alto</v>
      </c>
      <c r="Z342" t="str">
        <f>IF(AND(Y342="Alto",S342="Sim"),"Negada","Aprovada")</f>
        <v>Aprovada</v>
      </c>
      <c r="AA342" t="str">
        <f t="shared" si="69"/>
        <v>Aprovada</v>
      </c>
      <c r="AB342">
        <f>IF(AND(Z342="Negada",AA342="Negada"),"Já foi negado",IF(B342="Ativo",X342*8%,"Não liberado"))</f>
        <v>2000</v>
      </c>
    </row>
    <row r="343" spans="1:28">
      <c r="A343" t="s">
        <v>93</v>
      </c>
      <c r="B343" t="str">
        <f t="shared" si="61"/>
        <v>Inativo</v>
      </c>
      <c r="C343" t="str">
        <f t="shared" si="62"/>
        <v>Petyr Mallister</v>
      </c>
      <c r="D343" s="15" t="s">
        <v>794</v>
      </c>
      <c r="E343" s="16">
        <v>11600</v>
      </c>
      <c r="F343" s="16" t="str">
        <f t="shared" si="70"/>
        <v>000.000.116-00</v>
      </c>
      <c r="H343">
        <f t="shared" ca="1" si="71"/>
        <v>36</v>
      </c>
      <c r="I343" s="12">
        <v>32890</v>
      </c>
      <c r="J343" t="s">
        <v>147</v>
      </c>
      <c r="K343" t="str">
        <f t="shared" si="63"/>
        <v>Correrrio</v>
      </c>
      <c r="L343" t="s">
        <v>363</v>
      </c>
      <c r="M343" t="str" cm="1">
        <f t="array" ref="M343">PROPER(IF(L343&lt;&gt;"",L343,_xlfn.XLOOKUP(1,($K$2:$K$398=K343)*($L$2:$L$398&lt;&gt;""),$L$2:$L$398,"")))</f>
        <v>Terras Fluviais</v>
      </c>
      <c r="N343" s="14">
        <v>28100</v>
      </c>
      <c r="O343">
        <f t="shared" si="72"/>
        <v>28100</v>
      </c>
      <c r="P343" s="14">
        <v>36500</v>
      </c>
      <c r="Q343" s="17">
        <f t="shared" si="64"/>
        <v>36500</v>
      </c>
      <c r="R343" t="s">
        <v>49</v>
      </c>
      <c r="S343" t="str">
        <f t="shared" si="65"/>
        <v>Não</v>
      </c>
      <c r="T343">
        <v>13</v>
      </c>
      <c r="U343">
        <f t="shared" si="66"/>
        <v>13</v>
      </c>
      <c r="V343" t="s">
        <v>49</v>
      </c>
      <c r="W343">
        <v>5000</v>
      </c>
      <c r="X343">
        <f t="shared" si="67"/>
        <v>5000</v>
      </c>
      <c r="Y343" t="str">
        <f t="shared" si="68"/>
        <v>Médio</v>
      </c>
      <c r="Z343" t="str">
        <f>IF(AND(Y343="Alto",S343="Sim"),"Negada","Aprovada")</f>
        <v>Aprovada</v>
      </c>
      <c r="AA343" t="str">
        <f t="shared" si="69"/>
        <v>Aprovada</v>
      </c>
      <c r="AB343" t="str">
        <f>IF(AND(Z343="Negada",AA343="Negada"),"Já foi negado",IF(B343="Ativo",X343*8%,"Não liberado"))</f>
        <v>Não liberado</v>
      </c>
    </row>
    <row r="344" spans="1:28">
      <c r="A344" t="s">
        <v>93</v>
      </c>
      <c r="B344" t="str">
        <f t="shared" si="61"/>
        <v>Inativo</v>
      </c>
      <c r="C344" t="str">
        <f t="shared" si="62"/>
        <v>Cersei Tarth</v>
      </c>
      <c r="D344" s="15" t="s">
        <v>704</v>
      </c>
      <c r="E344" s="16">
        <v>20300</v>
      </c>
      <c r="F344" s="16" t="str">
        <f t="shared" si="70"/>
        <v>000.000.203-00</v>
      </c>
      <c r="G344">
        <v>46</v>
      </c>
      <c r="H344">
        <f t="shared" ca="1" si="71"/>
        <v>46</v>
      </c>
      <c r="I344" s="12">
        <v>29427</v>
      </c>
      <c r="J344" t="s">
        <v>178</v>
      </c>
      <c r="K344" t="str">
        <f t="shared" si="63"/>
        <v>Harrenhal</v>
      </c>
      <c r="L344" t="s">
        <v>155</v>
      </c>
      <c r="M344" t="str" cm="1">
        <f t="array" ref="M344">PROPER(IF(L344&lt;&gt;"",L344,_xlfn.XLOOKUP(1,($K$2:$K$398=K344)*($L$2:$L$398&lt;&gt;""),$L$2:$L$398,"")))</f>
        <v>Terras Fluviais</v>
      </c>
      <c r="O344" t="str">
        <f t="shared" si="72"/>
        <v>Não informado</v>
      </c>
      <c r="P344">
        <v>37500</v>
      </c>
      <c r="Q344" s="17">
        <f t="shared" si="64"/>
        <v>37500</v>
      </c>
      <c r="R344" t="s">
        <v>49</v>
      </c>
      <c r="S344" t="str">
        <f t="shared" si="65"/>
        <v>Não</v>
      </c>
      <c r="U344">
        <f t="shared" si="66"/>
        <v>0</v>
      </c>
      <c r="V344" t="s">
        <v>49</v>
      </c>
      <c r="W344">
        <v>77000</v>
      </c>
      <c r="X344">
        <f t="shared" si="67"/>
        <v>77000</v>
      </c>
      <c r="Y344" t="str">
        <f t="shared" si="68"/>
        <v>Baixo</v>
      </c>
      <c r="Z344" t="str">
        <f>IF(AND(Y344="Alto",S344="Sim"),"Negada","Aprovada")</f>
        <v>Aprovada</v>
      </c>
      <c r="AA344" t="str">
        <f t="shared" si="69"/>
        <v>Aprovada</v>
      </c>
      <c r="AB344" t="str">
        <f>IF(AND(Z344="Negada",AA344="Negada"),"Já foi negado",IF(B344="Ativo",X344*8%,"Não liberado"))</f>
        <v>Não liberado</v>
      </c>
    </row>
    <row r="345" spans="1:28">
      <c r="A345" t="s">
        <v>93</v>
      </c>
      <c r="B345" t="str">
        <f t="shared" si="61"/>
        <v>Inativo</v>
      </c>
      <c r="C345" t="str">
        <f t="shared" si="62"/>
        <v>Loras Payne</v>
      </c>
      <c r="D345" s="15" t="s">
        <v>364</v>
      </c>
      <c r="E345" s="16" t="s">
        <v>365</v>
      </c>
      <c r="F345" s="16" t="str">
        <f t="shared" si="70"/>
        <v>000.000.027-00</v>
      </c>
      <c r="G345">
        <v>30</v>
      </c>
      <c r="H345">
        <f t="shared" ca="1" si="71"/>
        <v>30</v>
      </c>
      <c r="I345" s="12">
        <v>35200</v>
      </c>
      <c r="J345" t="s">
        <v>136</v>
      </c>
      <c r="K345" t="str">
        <f t="shared" si="63"/>
        <v>Braavos</v>
      </c>
      <c r="L345" t="s">
        <v>267</v>
      </c>
      <c r="M345" t="str" cm="1">
        <f t="array" ref="M345">PROPER(IF(L345&lt;&gt;"",L345,_xlfn.XLOOKUP(1,($K$2:$K$398=K345)*($L$2:$L$398&lt;&gt;""),$L$2:$L$398,"")))</f>
        <v>Essos</v>
      </c>
      <c r="N345">
        <v>26500</v>
      </c>
      <c r="O345">
        <f t="shared" si="72"/>
        <v>26500</v>
      </c>
      <c r="P345">
        <v>14500</v>
      </c>
      <c r="Q345" s="17">
        <f t="shared" si="64"/>
        <v>14500</v>
      </c>
      <c r="R345">
        <v>0</v>
      </c>
      <c r="S345" t="str">
        <f t="shared" si="65"/>
        <v>Não</v>
      </c>
      <c r="T345">
        <v>15</v>
      </c>
      <c r="U345">
        <f t="shared" si="66"/>
        <v>15</v>
      </c>
      <c r="V345">
        <v>0</v>
      </c>
      <c r="W345">
        <v>39000</v>
      </c>
      <c r="X345">
        <f t="shared" si="67"/>
        <v>39000</v>
      </c>
      <c r="Y345" t="str">
        <f t="shared" si="68"/>
        <v>Médio</v>
      </c>
      <c r="Z345" t="str">
        <f>IF(AND(Y345="Alto",S345="Sim"),"Negada","Aprovada")</f>
        <v>Aprovada</v>
      </c>
      <c r="AA345" t="str">
        <f t="shared" si="69"/>
        <v>Aprovada</v>
      </c>
      <c r="AB345" t="str">
        <f>IF(AND(Z345="Negada",AA345="Negada"),"Já foi negado",IF(B345="Ativo",X345*8%,"Não liberado"))</f>
        <v>Não liberado</v>
      </c>
    </row>
    <row r="346" spans="1:28">
      <c r="A346" t="s">
        <v>88</v>
      </c>
      <c r="B346" t="str">
        <f t="shared" si="61"/>
        <v>Ativo</v>
      </c>
      <c r="C346" t="str">
        <f t="shared" si="62"/>
        <v>Rickon Frey</v>
      </c>
      <c r="D346" s="15" t="s">
        <v>795</v>
      </c>
      <c r="E346" s="16" t="s">
        <v>796</v>
      </c>
      <c r="F346" s="16" t="str">
        <f t="shared" si="70"/>
        <v>000.000.013-00</v>
      </c>
      <c r="G346">
        <v>60</v>
      </c>
      <c r="H346">
        <f t="shared" ca="1" si="71"/>
        <v>60</v>
      </c>
      <c r="I346" s="12">
        <v>24202</v>
      </c>
      <c r="J346" t="s">
        <v>312</v>
      </c>
      <c r="K346" t="str">
        <f t="shared" si="63"/>
        <v>Solar do Entardecer</v>
      </c>
      <c r="L346" t="s">
        <v>96</v>
      </c>
      <c r="M346" t="str" cm="1">
        <f t="array" ref="M346">PROPER(IF(L346&lt;&gt;"",L346,_xlfn.XLOOKUP(1,($K$2:$K$398=K346)*($L$2:$L$398&lt;&gt;""),$L$2:$L$398,"")))</f>
        <v>Terras Da Tempestade</v>
      </c>
      <c r="N346" s="13">
        <v>5500</v>
      </c>
      <c r="O346">
        <f t="shared" si="72"/>
        <v>5500</v>
      </c>
      <c r="P346">
        <v>0</v>
      </c>
      <c r="Q346" s="17">
        <f t="shared" si="64"/>
        <v>0</v>
      </c>
      <c r="R346" t="s">
        <v>200</v>
      </c>
      <c r="S346" t="str">
        <f t="shared" si="65"/>
        <v>Não</v>
      </c>
      <c r="T346">
        <v>26</v>
      </c>
      <c r="U346">
        <f t="shared" si="66"/>
        <v>26</v>
      </c>
      <c r="V346" t="s">
        <v>200</v>
      </c>
      <c r="W346">
        <v>52500</v>
      </c>
      <c r="X346">
        <f t="shared" si="67"/>
        <v>52500</v>
      </c>
      <c r="Y346" t="str">
        <f t="shared" si="68"/>
        <v>Alto</v>
      </c>
      <c r="Z346" t="str">
        <f>IF(AND(Y346="Alto",S346="Sim"),"Negada","Aprovada")</f>
        <v>Aprovada</v>
      </c>
      <c r="AA346" t="str">
        <f t="shared" si="69"/>
        <v>Aprovada</v>
      </c>
      <c r="AB346">
        <f>IF(AND(Z346="Negada",AA346="Negada"),"Já foi negado",IF(B346="Ativo",X346*8%,"Não liberado"))</f>
        <v>4200</v>
      </c>
    </row>
    <row r="347" spans="1:28">
      <c r="A347" t="s">
        <v>88</v>
      </c>
      <c r="B347" t="str">
        <f t="shared" si="61"/>
        <v>Ativo</v>
      </c>
      <c r="C347" t="str">
        <f t="shared" si="62"/>
        <v>Loras  Tarth</v>
      </c>
      <c r="D347" s="15" t="s">
        <v>797</v>
      </c>
      <c r="E347" s="16" t="s">
        <v>798</v>
      </c>
      <c r="F347" s="16" t="str">
        <f t="shared" si="70"/>
        <v>000.000.286-00</v>
      </c>
      <c r="G347">
        <v>43</v>
      </c>
      <c r="H347">
        <f t="shared" ca="1" si="71"/>
        <v>43</v>
      </c>
      <c r="I347" s="12">
        <v>30437</v>
      </c>
      <c r="J347" t="s">
        <v>234</v>
      </c>
      <c r="K347" t="str">
        <f t="shared" si="63"/>
        <v>Porto Real</v>
      </c>
      <c r="L347" t="s">
        <v>101</v>
      </c>
      <c r="M347" t="str" cm="1">
        <f t="array" ref="M347">PROPER(IF(L347&lt;&gt;"",L347,_xlfn.XLOOKUP(1,($K$2:$K$398=K347)*($L$2:$L$398&lt;&gt;""),$L$2:$L$398,"")))</f>
        <v>Terras Da Coroa</v>
      </c>
      <c r="N347">
        <v>14600</v>
      </c>
      <c r="O347">
        <f t="shared" si="72"/>
        <v>14600</v>
      </c>
      <c r="P347">
        <v>18500</v>
      </c>
      <c r="Q347" s="17">
        <f t="shared" si="64"/>
        <v>18500</v>
      </c>
      <c r="R347" t="s">
        <v>191</v>
      </c>
      <c r="S347" t="str">
        <f t="shared" si="65"/>
        <v>Sim</v>
      </c>
      <c r="T347">
        <v>22</v>
      </c>
      <c r="U347">
        <f t="shared" si="66"/>
        <v>22</v>
      </c>
      <c r="V347" t="s">
        <v>191</v>
      </c>
      <c r="W347">
        <v>16500</v>
      </c>
      <c r="X347">
        <f t="shared" si="67"/>
        <v>16500</v>
      </c>
      <c r="Y347" t="str">
        <f t="shared" si="68"/>
        <v>Médio</v>
      </c>
      <c r="Z347" t="str">
        <f>IF(AND(Y347="Alto",S347="Sim"),"Negada","Aprovada")</f>
        <v>Aprovada</v>
      </c>
      <c r="AA347" t="str">
        <f t="shared" si="69"/>
        <v>Aprovada</v>
      </c>
      <c r="AB347">
        <f>IF(AND(Z347="Negada",AA347="Negada"),"Já foi negado",IF(B347="Ativo",X347*8%,"Não liberado"))</f>
        <v>1320</v>
      </c>
    </row>
    <row r="348" spans="1:28">
      <c r="A348" t="s">
        <v>183</v>
      </c>
      <c r="B348" t="str">
        <f t="shared" si="61"/>
        <v>Ativo</v>
      </c>
      <c r="C348" t="str">
        <f t="shared" si="62"/>
        <v>Jon Hornwood</v>
      </c>
      <c r="D348" s="15" t="s">
        <v>730</v>
      </c>
      <c r="E348" s="16">
        <v>33100</v>
      </c>
      <c r="F348" s="16" t="str">
        <f t="shared" si="70"/>
        <v>000.000.331-00</v>
      </c>
      <c r="H348">
        <f t="shared" ca="1" si="71"/>
        <v>26</v>
      </c>
      <c r="I348" s="12">
        <v>36759</v>
      </c>
      <c r="J348" t="s">
        <v>193</v>
      </c>
      <c r="K348" t="str">
        <f t="shared" si="63"/>
        <v>Dorne</v>
      </c>
      <c r="L348" t="s">
        <v>193</v>
      </c>
      <c r="M348" t="str" cm="1">
        <f t="array" ref="M348">PROPER(IF(L348&lt;&gt;"",L348,_xlfn.XLOOKUP(1,($K$2:$K$398=K348)*($L$2:$L$398&lt;&gt;""),$L$2:$L$398,"")))</f>
        <v>Dorne</v>
      </c>
      <c r="N348">
        <v>23200</v>
      </c>
      <c r="O348">
        <f t="shared" si="72"/>
        <v>23200</v>
      </c>
      <c r="P348">
        <v>54500</v>
      </c>
      <c r="Q348" s="17">
        <f t="shared" si="64"/>
        <v>54500</v>
      </c>
      <c r="R348">
        <v>1</v>
      </c>
      <c r="S348" t="str">
        <f t="shared" si="65"/>
        <v>Sim</v>
      </c>
      <c r="T348">
        <v>26</v>
      </c>
      <c r="U348">
        <f t="shared" si="66"/>
        <v>26</v>
      </c>
      <c r="V348">
        <v>1</v>
      </c>
      <c r="W348">
        <v>39500</v>
      </c>
      <c r="X348">
        <f t="shared" si="67"/>
        <v>39500</v>
      </c>
      <c r="Y348" t="str">
        <f t="shared" si="68"/>
        <v>Alto</v>
      </c>
      <c r="Z348" t="str">
        <f>IF(AND(Y348="Alto",S348="Sim"),"Negada","Aprovada")</f>
        <v>Negada</v>
      </c>
      <c r="AA348" t="str">
        <f t="shared" si="69"/>
        <v>Negada</v>
      </c>
      <c r="AB348" t="str">
        <f>IF(AND(Z348="Negada",AA348="Negada"),"Já foi negado",IF(B348="Ativo",X348*8%,"Não liberado"))</f>
        <v>Já foi negado</v>
      </c>
    </row>
    <row r="349" spans="1:28">
      <c r="A349" t="s">
        <v>88</v>
      </c>
      <c r="B349" t="str">
        <f t="shared" si="61"/>
        <v>Ativo</v>
      </c>
      <c r="C349" t="str">
        <f t="shared" si="62"/>
        <v>Meera Reed</v>
      </c>
      <c r="D349" s="15" t="s">
        <v>407</v>
      </c>
      <c r="E349" s="16" t="s">
        <v>408</v>
      </c>
      <c r="F349" s="16" t="str">
        <f t="shared" si="70"/>
        <v>000.000.314-00</v>
      </c>
      <c r="G349">
        <v>53</v>
      </c>
      <c r="H349">
        <f t="shared" ca="1" si="71"/>
        <v>53</v>
      </c>
      <c r="I349" s="12">
        <v>26584</v>
      </c>
      <c r="J349" t="s">
        <v>171</v>
      </c>
      <c r="K349" t="str">
        <f t="shared" si="63"/>
        <v>Fosso Cailin</v>
      </c>
      <c r="L349" t="s">
        <v>151</v>
      </c>
      <c r="M349" t="str" cm="1">
        <f t="array" ref="M349">PROPER(IF(L349&lt;&gt;"",L349,_xlfn.XLOOKUP(1,($K$2:$K$398=K349)*($L$2:$L$398&lt;&gt;""),$L$2:$L$398,"")))</f>
        <v>Norte</v>
      </c>
      <c r="N349">
        <v>12200</v>
      </c>
      <c r="O349">
        <f t="shared" si="72"/>
        <v>12200</v>
      </c>
      <c r="P349" s="13">
        <v>79500</v>
      </c>
      <c r="Q349" s="17">
        <f t="shared" si="64"/>
        <v>79500</v>
      </c>
      <c r="R349" t="s">
        <v>200</v>
      </c>
      <c r="S349" t="str">
        <f t="shared" si="65"/>
        <v>Não</v>
      </c>
      <c r="T349">
        <v>45</v>
      </c>
      <c r="U349">
        <f t="shared" si="66"/>
        <v>45</v>
      </c>
      <c r="V349" t="s">
        <v>200</v>
      </c>
      <c r="W349">
        <v>62000</v>
      </c>
      <c r="X349">
        <f t="shared" si="67"/>
        <v>62000</v>
      </c>
      <c r="Y349" t="str">
        <f t="shared" si="68"/>
        <v>Alto</v>
      </c>
      <c r="Z349" t="str">
        <f>IF(AND(Y349="Alto",S349="Sim"),"Negada","Aprovada")</f>
        <v>Aprovada</v>
      </c>
      <c r="AA349" t="str">
        <f t="shared" si="69"/>
        <v>Aprovada</v>
      </c>
      <c r="AB349">
        <f>IF(AND(Z349="Negada",AA349="Negada"),"Já foi negado",IF(B349="Ativo",X349*8%,"Não liberado"))</f>
        <v>4960</v>
      </c>
    </row>
    <row r="350" spans="1:28">
      <c r="A350" t="s">
        <v>183</v>
      </c>
      <c r="B350" t="str">
        <f t="shared" si="61"/>
        <v>Ativo</v>
      </c>
      <c r="C350" t="str">
        <f t="shared" si="62"/>
        <v>Theon Frey</v>
      </c>
      <c r="D350" s="15" t="s">
        <v>799</v>
      </c>
      <c r="E350" s="16" t="s">
        <v>800</v>
      </c>
      <c r="F350" s="16" t="str">
        <f t="shared" si="70"/>
        <v>000.000.123-00</v>
      </c>
      <c r="G350">
        <v>19</v>
      </c>
      <c r="H350">
        <f t="shared" ca="1" si="71"/>
        <v>19</v>
      </c>
      <c r="I350" s="12">
        <v>39209</v>
      </c>
      <c r="J350" t="s">
        <v>226</v>
      </c>
      <c r="K350" t="str">
        <f t="shared" si="63"/>
        <v>Monte Chifre</v>
      </c>
      <c r="L350" t="s">
        <v>158</v>
      </c>
      <c r="M350" t="str" cm="1">
        <f t="array" ref="M350">PROPER(IF(L350&lt;&gt;"",L350,_xlfn.XLOOKUP(1,($K$2:$K$398=K350)*($L$2:$L$398&lt;&gt;""),$L$2:$L$398,"")))</f>
        <v>Campina</v>
      </c>
      <c r="N350" s="13">
        <v>7200</v>
      </c>
      <c r="O350">
        <f t="shared" si="72"/>
        <v>7200</v>
      </c>
      <c r="P350">
        <v>16000</v>
      </c>
      <c r="Q350" s="17">
        <f t="shared" si="64"/>
        <v>16000</v>
      </c>
      <c r="R350" t="s">
        <v>49</v>
      </c>
      <c r="S350" t="str">
        <f t="shared" si="65"/>
        <v>Não</v>
      </c>
      <c r="T350">
        <v>5</v>
      </c>
      <c r="U350">
        <f t="shared" si="66"/>
        <v>5</v>
      </c>
      <c r="V350" t="s">
        <v>49</v>
      </c>
      <c r="W350">
        <v>52000</v>
      </c>
      <c r="X350">
        <f t="shared" si="67"/>
        <v>52000</v>
      </c>
      <c r="Y350" t="str">
        <f t="shared" si="68"/>
        <v>Baixo</v>
      </c>
      <c r="Z350" t="str">
        <f>IF(AND(Y350="Alto",S350="Sim"),"Negada","Aprovada")</f>
        <v>Aprovada</v>
      </c>
      <c r="AA350" t="str">
        <f t="shared" si="69"/>
        <v>Aprovada</v>
      </c>
      <c r="AB350">
        <f>IF(AND(Z350="Negada",AA350="Negada"),"Já foi negado",IF(B350="Ativo",X350*8%,"Não liberado"))</f>
        <v>4160</v>
      </c>
    </row>
    <row r="351" spans="1:28">
      <c r="A351" t="s">
        <v>93</v>
      </c>
      <c r="B351" t="str">
        <f t="shared" si="61"/>
        <v>Inativo</v>
      </c>
      <c r="C351" t="str">
        <f t="shared" si="62"/>
        <v>Renly Tallhart</v>
      </c>
      <c r="D351" s="15" t="s">
        <v>801</v>
      </c>
      <c r="E351" s="16">
        <v>11700</v>
      </c>
      <c r="F351" s="16" t="str">
        <f t="shared" si="70"/>
        <v>000.000.117-00</v>
      </c>
      <c r="G351">
        <v>27</v>
      </c>
      <c r="H351">
        <f t="shared" ca="1" si="71"/>
        <v>27</v>
      </c>
      <c r="I351" s="12">
        <v>36151</v>
      </c>
      <c r="J351" t="s">
        <v>179</v>
      </c>
      <c r="K351" t="str">
        <f t="shared" si="63"/>
        <v>Winterfell</v>
      </c>
      <c r="L351" t="s">
        <v>151</v>
      </c>
      <c r="M351" t="str" cm="1">
        <f t="array" ref="M351">PROPER(IF(L351&lt;&gt;"",L351,_xlfn.XLOOKUP(1,($K$2:$K$398=K351)*($L$2:$L$398&lt;&gt;""),$L$2:$L$398,"")))</f>
        <v>Norte</v>
      </c>
      <c r="N351" s="13">
        <v>25900</v>
      </c>
      <c r="O351">
        <f t="shared" si="72"/>
        <v>25900</v>
      </c>
      <c r="P351">
        <v>0</v>
      </c>
      <c r="Q351" s="17">
        <f t="shared" si="64"/>
        <v>0</v>
      </c>
      <c r="R351" t="s">
        <v>50</v>
      </c>
      <c r="S351" t="str">
        <f t="shared" si="65"/>
        <v>Sim</v>
      </c>
      <c r="T351">
        <v>10</v>
      </c>
      <c r="U351">
        <f t="shared" si="66"/>
        <v>10</v>
      </c>
      <c r="V351" t="s">
        <v>50</v>
      </c>
      <c r="W351">
        <v>5000</v>
      </c>
      <c r="X351">
        <f t="shared" si="67"/>
        <v>5000</v>
      </c>
      <c r="Y351" t="str">
        <f t="shared" si="68"/>
        <v>Baixo</v>
      </c>
      <c r="Z351" t="str">
        <f>IF(AND(Y351="Alto",S351="Sim"),"Negada","Aprovada")</f>
        <v>Aprovada</v>
      </c>
      <c r="AA351" t="str">
        <f t="shared" si="69"/>
        <v>Aprovada</v>
      </c>
      <c r="AB351" t="str">
        <f>IF(AND(Z351="Negada",AA351="Negada"),"Já foi negado",IF(B351="Ativo",X351*8%,"Não liberado"))</f>
        <v>Não liberado</v>
      </c>
    </row>
    <row r="352" spans="1:28">
      <c r="A352" t="s">
        <v>88</v>
      </c>
      <c r="B352" t="str">
        <f t="shared" si="61"/>
        <v>Ativo</v>
      </c>
      <c r="C352" t="str">
        <f t="shared" si="62"/>
        <v>Yara Mallister</v>
      </c>
      <c r="D352" s="15" t="s">
        <v>802</v>
      </c>
      <c r="E352" s="16" t="s">
        <v>803</v>
      </c>
      <c r="F352" s="16" t="str">
        <f t="shared" si="70"/>
        <v>000.000.134-00</v>
      </c>
      <c r="G352">
        <v>44</v>
      </c>
      <c r="H352">
        <f t="shared" ca="1" si="71"/>
        <v>44</v>
      </c>
      <c r="I352" s="12">
        <v>29892</v>
      </c>
      <c r="J352" t="s">
        <v>113</v>
      </c>
      <c r="K352" t="str">
        <f t="shared" si="63"/>
        <v>Lannisporto</v>
      </c>
      <c r="L352" t="s">
        <v>117</v>
      </c>
      <c r="M352" t="str" cm="1">
        <f t="array" ref="M352">PROPER(IF(L352&lt;&gt;"",L352,_xlfn.XLOOKUP(1,($K$2:$K$398=K352)*($L$2:$L$398&lt;&gt;""),$L$2:$L$398,"")))</f>
        <v>Oeste</v>
      </c>
      <c r="N352">
        <v>20600</v>
      </c>
      <c r="O352">
        <f t="shared" si="72"/>
        <v>20600</v>
      </c>
      <c r="P352">
        <v>8000</v>
      </c>
      <c r="Q352" s="17">
        <f t="shared" si="64"/>
        <v>8000</v>
      </c>
      <c r="R352" t="s">
        <v>49</v>
      </c>
      <c r="S352" t="str">
        <f t="shared" si="65"/>
        <v>Não</v>
      </c>
      <c r="T352">
        <v>39</v>
      </c>
      <c r="U352">
        <f t="shared" si="66"/>
        <v>39</v>
      </c>
      <c r="V352" t="s">
        <v>49</v>
      </c>
      <c r="W352">
        <v>36000</v>
      </c>
      <c r="X352">
        <f t="shared" si="67"/>
        <v>36000</v>
      </c>
      <c r="Y352" t="str">
        <f t="shared" si="68"/>
        <v>Alto</v>
      </c>
      <c r="Z352" t="str">
        <f>IF(AND(Y352="Alto",S352="Sim"),"Negada","Aprovada")</f>
        <v>Aprovada</v>
      </c>
      <c r="AA352" t="str">
        <f t="shared" si="69"/>
        <v>Aprovada</v>
      </c>
      <c r="AB352">
        <f>IF(AND(Z352="Negada",AA352="Negada"),"Já foi negado",IF(B352="Ativo",X352*8%,"Não liberado"))</f>
        <v>2880</v>
      </c>
    </row>
    <row r="353" spans="1:28">
      <c r="A353" t="s">
        <v>88</v>
      </c>
      <c r="B353" t="str">
        <f t="shared" si="61"/>
        <v>Ativo</v>
      </c>
      <c r="C353" t="str">
        <f t="shared" si="62"/>
        <v>Grey Worm Targaryen</v>
      </c>
      <c r="D353" s="15" t="s">
        <v>804</v>
      </c>
      <c r="E353" s="16" t="s">
        <v>805</v>
      </c>
      <c r="F353" s="16" t="str">
        <f t="shared" si="70"/>
        <v>000.000.060-00</v>
      </c>
      <c r="G353">
        <v>48</v>
      </c>
      <c r="H353">
        <f t="shared" ca="1" si="71"/>
        <v>48</v>
      </c>
      <c r="I353" s="12">
        <v>28689</v>
      </c>
      <c r="J353" t="s">
        <v>95</v>
      </c>
      <c r="K353" t="str">
        <f t="shared" si="63"/>
        <v>Ponta Tempestade</v>
      </c>
      <c r="L353" t="s">
        <v>96</v>
      </c>
      <c r="M353" t="str" cm="1">
        <f t="array" ref="M353">PROPER(IF(L353&lt;&gt;"",L353,_xlfn.XLOOKUP(1,($K$2:$K$398=K353)*($L$2:$L$398&lt;&gt;""),$L$2:$L$398,"")))</f>
        <v>Terras Da Tempestade</v>
      </c>
      <c r="N353" s="13">
        <v>18700</v>
      </c>
      <c r="O353">
        <f t="shared" si="72"/>
        <v>18700</v>
      </c>
      <c r="P353">
        <v>11000</v>
      </c>
      <c r="Q353" s="17">
        <f t="shared" si="64"/>
        <v>11000</v>
      </c>
      <c r="R353" t="s">
        <v>49</v>
      </c>
      <c r="S353" t="str">
        <f t="shared" si="65"/>
        <v>Não</v>
      </c>
      <c r="T353">
        <v>28</v>
      </c>
      <c r="U353">
        <f t="shared" si="66"/>
        <v>28</v>
      </c>
      <c r="V353" t="s">
        <v>49</v>
      </c>
      <c r="W353">
        <v>18000</v>
      </c>
      <c r="X353">
        <f t="shared" si="67"/>
        <v>18000</v>
      </c>
      <c r="Y353" t="str">
        <f t="shared" si="68"/>
        <v>Alto</v>
      </c>
      <c r="Z353" t="str">
        <f>IF(AND(Y353="Alto",S353="Sim"),"Negada","Aprovada")</f>
        <v>Aprovada</v>
      </c>
      <c r="AA353" t="str">
        <f t="shared" si="69"/>
        <v>Aprovada</v>
      </c>
      <c r="AB353">
        <f>IF(AND(Z353="Negada",AA353="Negada"),"Já foi negado",IF(B353="Ativo",X353*8%,"Não liberado"))</f>
        <v>1440</v>
      </c>
    </row>
    <row r="354" spans="1:28">
      <c r="A354" t="s">
        <v>88</v>
      </c>
      <c r="B354" t="str">
        <f t="shared" si="61"/>
        <v>Ativo</v>
      </c>
      <c r="C354" t="str">
        <f t="shared" si="62"/>
        <v>Sandor Dondarrion</v>
      </c>
      <c r="D354" s="15" t="s">
        <v>806</v>
      </c>
      <c r="E354" s="16">
        <v>8200</v>
      </c>
      <c r="F354" s="16" t="str">
        <f t="shared" si="70"/>
        <v>000.000.082-00</v>
      </c>
      <c r="G354">
        <v>20</v>
      </c>
      <c r="H354">
        <f t="shared" ca="1" si="71"/>
        <v>20</v>
      </c>
      <c r="I354" s="12">
        <v>38894</v>
      </c>
      <c r="J354" t="s">
        <v>163</v>
      </c>
      <c r="K354" t="str">
        <f t="shared" si="63"/>
        <v>Ilha dos Ursos</v>
      </c>
      <c r="L354" t="s">
        <v>186</v>
      </c>
      <c r="M354" t="str" cm="1">
        <f t="array" ref="M354">PROPER(IF(L354&lt;&gt;"",L354,_xlfn.XLOOKUP(1,($K$2:$K$398=K354)*($L$2:$L$398&lt;&gt;""),$L$2:$L$398,"")))</f>
        <v>Norte</v>
      </c>
      <c r="N354">
        <v>24900</v>
      </c>
      <c r="O354">
        <f t="shared" si="72"/>
        <v>24900</v>
      </c>
      <c r="P354">
        <v>0</v>
      </c>
      <c r="Q354" s="17">
        <f t="shared" si="64"/>
        <v>0</v>
      </c>
      <c r="R354" t="s">
        <v>50</v>
      </c>
      <c r="S354" t="str">
        <f t="shared" si="65"/>
        <v>Sim</v>
      </c>
      <c r="T354">
        <v>14</v>
      </c>
      <c r="U354">
        <f t="shared" si="66"/>
        <v>14</v>
      </c>
      <c r="V354" t="s">
        <v>50</v>
      </c>
      <c r="W354">
        <v>49500</v>
      </c>
      <c r="X354">
        <f t="shared" si="67"/>
        <v>49500</v>
      </c>
      <c r="Y354" t="str">
        <f t="shared" si="68"/>
        <v>Médio</v>
      </c>
      <c r="Z354" t="str">
        <f>IF(AND(Y354="Alto",S354="Sim"),"Negada","Aprovada")</f>
        <v>Aprovada</v>
      </c>
      <c r="AA354" t="str">
        <f t="shared" si="69"/>
        <v>Aprovada</v>
      </c>
      <c r="AB354">
        <f>IF(AND(Z354="Negada",AA354="Negada"),"Já foi negado",IF(B354="Ativo",X354*8%,"Não liberado"))</f>
        <v>3960</v>
      </c>
    </row>
    <row r="355" spans="1:28">
      <c r="A355" t="s">
        <v>93</v>
      </c>
      <c r="B355" t="str">
        <f t="shared" si="61"/>
        <v>Inativo</v>
      </c>
      <c r="C355" t="str">
        <f t="shared" si="62"/>
        <v>Robert Manderly</v>
      </c>
      <c r="D355" s="15" t="s">
        <v>807</v>
      </c>
      <c r="E355" s="16">
        <v>23000</v>
      </c>
      <c r="F355" s="16" t="str">
        <f t="shared" si="70"/>
        <v>000.000.230-00</v>
      </c>
      <c r="G355">
        <v>53</v>
      </c>
      <c r="H355">
        <f t="shared" ca="1" si="71"/>
        <v>53</v>
      </c>
      <c r="I355" s="12">
        <v>26744</v>
      </c>
      <c r="J355" t="s">
        <v>121</v>
      </c>
      <c r="K355" t="str">
        <f t="shared" si="63"/>
        <v>Pyke</v>
      </c>
      <c r="L355" t="s">
        <v>141</v>
      </c>
      <c r="M355" t="str" cm="1">
        <f t="array" ref="M355">PROPER(IF(L355&lt;&gt;"",L355,_xlfn.XLOOKUP(1,($K$2:$K$398=K355)*($L$2:$L$398&lt;&gt;""),$L$2:$L$398,"")))</f>
        <v>Ilhas De Ferro</v>
      </c>
      <c r="N355" s="13">
        <v>26400</v>
      </c>
      <c r="O355">
        <f t="shared" si="72"/>
        <v>26400</v>
      </c>
      <c r="P355">
        <v>9500</v>
      </c>
      <c r="Q355" s="17">
        <f t="shared" si="64"/>
        <v>9500</v>
      </c>
      <c r="R355" t="s">
        <v>49</v>
      </c>
      <c r="S355" t="str">
        <f t="shared" si="65"/>
        <v>Não</v>
      </c>
      <c r="T355">
        <v>21</v>
      </c>
      <c r="U355">
        <f t="shared" si="66"/>
        <v>21</v>
      </c>
      <c r="V355" t="s">
        <v>49</v>
      </c>
      <c r="W355">
        <v>16000</v>
      </c>
      <c r="X355">
        <f t="shared" si="67"/>
        <v>16000</v>
      </c>
      <c r="Y355" t="str">
        <f t="shared" si="68"/>
        <v>Médio</v>
      </c>
      <c r="Z355" t="str">
        <f>IF(AND(Y355="Alto",S355="Sim"),"Negada","Aprovada")</f>
        <v>Aprovada</v>
      </c>
      <c r="AA355" t="str">
        <f t="shared" si="69"/>
        <v>Aprovada</v>
      </c>
      <c r="AB355" t="str">
        <f>IF(AND(Z355="Negada",AA355="Negada"),"Já foi negado",IF(B355="Ativo",X355*8%,"Não liberado"))</f>
        <v>Não liberado</v>
      </c>
    </row>
    <row r="356" spans="1:28">
      <c r="A356" t="s">
        <v>93</v>
      </c>
      <c r="B356" t="str">
        <f t="shared" si="61"/>
        <v>Inativo</v>
      </c>
      <c r="C356" t="str">
        <f t="shared" si="62"/>
        <v>Margaery Tyrell</v>
      </c>
      <c r="D356" s="15" t="s">
        <v>808</v>
      </c>
      <c r="E356" s="16" t="s">
        <v>809</v>
      </c>
      <c r="F356" s="16" t="str">
        <f t="shared" si="70"/>
        <v>000.000.107-00</v>
      </c>
      <c r="G356">
        <v>31</v>
      </c>
      <c r="H356">
        <f t="shared" ca="1" si="71"/>
        <v>31</v>
      </c>
      <c r="I356" s="12">
        <v>34824</v>
      </c>
      <c r="J356" t="s">
        <v>312</v>
      </c>
      <c r="K356" t="str">
        <f t="shared" si="63"/>
        <v>Solar do Entardecer</v>
      </c>
      <c r="L356" t="s">
        <v>96</v>
      </c>
      <c r="M356" t="str" cm="1">
        <f t="array" ref="M356">PROPER(IF(L356&lt;&gt;"",L356,_xlfn.XLOOKUP(1,($K$2:$K$398=K356)*($L$2:$L$398&lt;&gt;""),$L$2:$L$398,"")))</f>
        <v>Terras Da Tempestade</v>
      </c>
      <c r="N356" s="13">
        <v>29500</v>
      </c>
      <c r="O356">
        <f t="shared" si="72"/>
        <v>29500</v>
      </c>
      <c r="P356">
        <v>5000</v>
      </c>
      <c r="Q356" s="17">
        <f t="shared" si="64"/>
        <v>5000</v>
      </c>
      <c r="R356" t="s">
        <v>49</v>
      </c>
      <c r="S356" t="str">
        <f t="shared" si="65"/>
        <v>Não</v>
      </c>
      <c r="T356">
        <v>22</v>
      </c>
      <c r="U356">
        <f t="shared" si="66"/>
        <v>22</v>
      </c>
      <c r="V356" t="s">
        <v>49</v>
      </c>
      <c r="W356">
        <v>18000</v>
      </c>
      <c r="X356">
        <f t="shared" si="67"/>
        <v>18000</v>
      </c>
      <c r="Y356" t="str">
        <f t="shared" si="68"/>
        <v>Médio</v>
      </c>
      <c r="Z356" t="str">
        <f>IF(AND(Y356="Alto",S356="Sim"),"Negada","Aprovada")</f>
        <v>Aprovada</v>
      </c>
      <c r="AA356" t="str">
        <f t="shared" si="69"/>
        <v>Aprovada</v>
      </c>
      <c r="AB356" t="str">
        <f>IF(AND(Z356="Negada",AA356="Negada"),"Já foi negado",IF(B356="Ativo",X356*8%,"Não liberado"))</f>
        <v>Não liberado</v>
      </c>
    </row>
    <row r="357" spans="1:28">
      <c r="A357" t="s">
        <v>88</v>
      </c>
      <c r="B357" t="str">
        <f t="shared" si="61"/>
        <v>Ativo</v>
      </c>
      <c r="C357" t="str">
        <f t="shared" si="62"/>
        <v>Daario Tarly</v>
      </c>
      <c r="D357" s="15" t="s">
        <v>810</v>
      </c>
      <c r="E357" s="16" t="s">
        <v>811</v>
      </c>
      <c r="F357" s="16" t="str">
        <f t="shared" si="70"/>
        <v>000.000.046-00</v>
      </c>
      <c r="G357">
        <v>32</v>
      </c>
      <c r="H357">
        <f t="shared" ca="1" si="71"/>
        <v>32</v>
      </c>
      <c r="I357" s="12">
        <v>34508</v>
      </c>
      <c r="J357" t="s">
        <v>193</v>
      </c>
      <c r="K357" t="str">
        <f t="shared" si="63"/>
        <v>Dorne</v>
      </c>
      <c r="L357" t="s">
        <v>193</v>
      </c>
      <c r="M357" t="str" cm="1">
        <f t="array" ref="M357">PROPER(IF(L357&lt;&gt;"",L357,_xlfn.XLOOKUP(1,($K$2:$K$398=K357)*($L$2:$L$398&lt;&gt;""),$L$2:$L$398,"")))</f>
        <v>Dorne</v>
      </c>
      <c r="N357">
        <v>9800</v>
      </c>
      <c r="O357">
        <f t="shared" si="72"/>
        <v>9800</v>
      </c>
      <c r="P357">
        <v>0</v>
      </c>
      <c r="Q357" s="17">
        <f t="shared" si="64"/>
        <v>0</v>
      </c>
      <c r="R357" t="s">
        <v>49</v>
      </c>
      <c r="S357" t="str">
        <f t="shared" si="65"/>
        <v>Não</v>
      </c>
      <c r="T357">
        <v>23</v>
      </c>
      <c r="U357">
        <f t="shared" si="66"/>
        <v>23</v>
      </c>
      <c r="V357" t="s">
        <v>49</v>
      </c>
      <c r="W357">
        <v>68000</v>
      </c>
      <c r="X357">
        <f t="shared" si="67"/>
        <v>68000</v>
      </c>
      <c r="Y357" t="str">
        <f t="shared" si="68"/>
        <v>Médio</v>
      </c>
      <c r="Z357" t="str">
        <f>IF(AND(Y357="Alto",S357="Sim"),"Negada","Aprovada")</f>
        <v>Aprovada</v>
      </c>
      <c r="AA357" t="str">
        <f t="shared" si="69"/>
        <v>Aprovada</v>
      </c>
      <c r="AB357">
        <f>IF(AND(Z357="Negada",AA357="Negada"),"Já foi negado",IF(B357="Ativo",X357*8%,"Não liberado"))</f>
        <v>5440</v>
      </c>
    </row>
    <row r="358" spans="1:28">
      <c r="A358" t="s">
        <v>93</v>
      </c>
      <c r="B358" t="str">
        <f t="shared" si="61"/>
        <v>Inativo</v>
      </c>
      <c r="C358" t="str">
        <f t="shared" si="62"/>
        <v>Tyrion Clegane</v>
      </c>
      <c r="D358" s="15" t="s">
        <v>812</v>
      </c>
      <c r="E358" s="16" t="s">
        <v>813</v>
      </c>
      <c r="F358" s="16" t="str">
        <f t="shared" si="70"/>
        <v>000.000.281-00</v>
      </c>
      <c r="G358">
        <v>51</v>
      </c>
      <c r="H358">
        <f t="shared" ca="1" si="71"/>
        <v>51</v>
      </c>
      <c r="I358" s="12">
        <v>27590</v>
      </c>
      <c r="J358" t="s">
        <v>226</v>
      </c>
      <c r="K358" t="str">
        <f t="shared" si="63"/>
        <v>Monte Chifre</v>
      </c>
      <c r="L358" t="s">
        <v>158</v>
      </c>
      <c r="M358" t="str" cm="1">
        <f t="array" ref="M358">PROPER(IF(L358&lt;&gt;"",L358,_xlfn.XLOOKUP(1,($K$2:$K$398=K358)*($L$2:$L$398&lt;&gt;""),$L$2:$L$398,"")))</f>
        <v>Campina</v>
      </c>
      <c r="N358" t="s">
        <v>814</v>
      </c>
      <c r="O358">
        <f t="shared" si="72"/>
        <v>11400</v>
      </c>
      <c r="P358">
        <v>0</v>
      </c>
      <c r="Q358" s="17">
        <f t="shared" si="64"/>
        <v>0</v>
      </c>
      <c r="R358" t="s">
        <v>49</v>
      </c>
      <c r="S358" t="str">
        <f t="shared" si="65"/>
        <v>Não</v>
      </c>
      <c r="T358">
        <v>17</v>
      </c>
      <c r="U358">
        <f t="shared" si="66"/>
        <v>17</v>
      </c>
      <c r="V358" t="s">
        <v>49</v>
      </c>
      <c r="W358">
        <v>55500</v>
      </c>
      <c r="X358">
        <f t="shared" si="67"/>
        <v>55500</v>
      </c>
      <c r="Y358" t="str">
        <f t="shared" si="68"/>
        <v>Médio</v>
      </c>
      <c r="Z358" t="str">
        <f>IF(AND(Y358="Alto",S358="Sim"),"Negada","Aprovada")</f>
        <v>Aprovada</v>
      </c>
      <c r="AA358" t="str">
        <f t="shared" si="69"/>
        <v>Aprovada</v>
      </c>
      <c r="AB358" t="str">
        <f>IF(AND(Z358="Negada",AA358="Negada"),"Já foi negado",IF(B358="Ativo",X358*8%,"Não liberado"))</f>
        <v>Não liberado</v>
      </c>
    </row>
    <row r="359" spans="1:28">
      <c r="B359" t="str">
        <f t="shared" si="61"/>
        <v>Não informado</v>
      </c>
      <c r="C359" t="str">
        <f t="shared" si="62"/>
        <v>Viserys Hightower</v>
      </c>
      <c r="D359" s="15" t="s">
        <v>815</v>
      </c>
      <c r="E359" s="16" t="s">
        <v>816</v>
      </c>
      <c r="F359" s="16" t="str">
        <f t="shared" si="70"/>
        <v>000.000.080-00</v>
      </c>
      <c r="G359">
        <v>54</v>
      </c>
      <c r="H359">
        <f t="shared" ca="1" si="71"/>
        <v>54</v>
      </c>
      <c r="I359" s="12">
        <v>26403</v>
      </c>
      <c r="J359" t="s">
        <v>226</v>
      </c>
      <c r="K359" t="str">
        <f t="shared" si="63"/>
        <v>Monte Chifre</v>
      </c>
      <c r="L359" t="s">
        <v>158</v>
      </c>
      <c r="M359" t="str" cm="1">
        <f t="array" ref="M359">PROPER(IF(L359&lt;&gt;"",L359,_xlfn.XLOOKUP(1,($K$2:$K$398=K359)*($L$2:$L$398&lt;&gt;""),$L$2:$L$398,"")))</f>
        <v>Campina</v>
      </c>
      <c r="N359" t="s">
        <v>817</v>
      </c>
      <c r="O359">
        <f t="shared" si="72"/>
        <v>20800</v>
      </c>
      <c r="P359" t="s">
        <v>424</v>
      </c>
      <c r="Q359" s="17">
        <f t="shared" si="64"/>
        <v>16000</v>
      </c>
      <c r="R359" t="s">
        <v>200</v>
      </c>
      <c r="S359" t="str">
        <f t="shared" si="65"/>
        <v>Não</v>
      </c>
      <c r="T359">
        <v>32</v>
      </c>
      <c r="U359">
        <f t="shared" si="66"/>
        <v>32</v>
      </c>
      <c r="V359" t="s">
        <v>200</v>
      </c>
      <c r="W359">
        <v>31500</v>
      </c>
      <c r="X359">
        <f t="shared" si="67"/>
        <v>31500</v>
      </c>
      <c r="Y359" t="str">
        <f t="shared" si="68"/>
        <v>Alto</v>
      </c>
      <c r="Z359" t="str">
        <f>IF(AND(Y359="Alto",S359="Sim"),"Negada","Aprovada")</f>
        <v>Aprovada</v>
      </c>
      <c r="AA359" t="str">
        <f t="shared" si="69"/>
        <v>Aprovada</v>
      </c>
      <c r="AB359" t="str">
        <f>IF(AND(Z359="Negada",AA359="Negada"),"Já foi negado",IF(B359="Ativo",X359*8%,"Não liberado"))</f>
        <v>Não liberado</v>
      </c>
    </row>
    <row r="360" spans="1:28">
      <c r="A360" t="s">
        <v>93</v>
      </c>
      <c r="B360" t="str">
        <f t="shared" si="61"/>
        <v>Inativo</v>
      </c>
      <c r="C360" t="str">
        <f t="shared" si="62"/>
        <v>Aegon Umber</v>
      </c>
      <c r="D360" s="15" t="s">
        <v>818</v>
      </c>
      <c r="E360" s="16" t="s">
        <v>819</v>
      </c>
      <c r="F360" s="16" t="str">
        <f t="shared" si="70"/>
        <v>000.000.356-00</v>
      </c>
      <c r="G360">
        <v>66</v>
      </c>
      <c r="H360">
        <f t="shared" ca="1" si="71"/>
        <v>66</v>
      </c>
      <c r="I360" s="12">
        <v>22101</v>
      </c>
      <c r="J360" t="s">
        <v>130</v>
      </c>
      <c r="K360" t="str">
        <f t="shared" si="63"/>
        <v>Meereen</v>
      </c>
      <c r="L360" t="s">
        <v>267</v>
      </c>
      <c r="M360" t="str" cm="1">
        <f t="array" ref="M360">PROPER(IF(L360&lt;&gt;"",L360,_xlfn.XLOOKUP(1,($K$2:$K$398=K360)*($L$2:$L$398&lt;&gt;""),$L$2:$L$398,"")))</f>
        <v>Essos</v>
      </c>
      <c r="N360">
        <v>16800</v>
      </c>
      <c r="O360">
        <f t="shared" si="72"/>
        <v>16800</v>
      </c>
      <c r="P360">
        <v>79500</v>
      </c>
      <c r="Q360" s="17">
        <f t="shared" si="64"/>
        <v>79500</v>
      </c>
      <c r="R360" t="s">
        <v>49</v>
      </c>
      <c r="S360" t="str">
        <f t="shared" si="65"/>
        <v>Não</v>
      </c>
      <c r="T360">
        <v>36</v>
      </c>
      <c r="U360">
        <f t="shared" si="66"/>
        <v>36</v>
      </c>
      <c r="V360" t="s">
        <v>49</v>
      </c>
      <c r="W360">
        <v>1500</v>
      </c>
      <c r="X360">
        <f t="shared" si="67"/>
        <v>1500</v>
      </c>
      <c r="Y360" t="str">
        <f t="shared" si="68"/>
        <v>Alto</v>
      </c>
      <c r="Z360" t="str">
        <f>IF(AND(Y360="Alto",S360="Sim"),"Negada","Aprovada")</f>
        <v>Aprovada</v>
      </c>
      <c r="AA360" t="str">
        <f t="shared" si="69"/>
        <v>Aprovada</v>
      </c>
      <c r="AB360" t="str">
        <f>IF(AND(Z360="Negada",AA360="Negada"),"Já foi negado",IF(B360="Ativo",X360*8%,"Não liberado"))</f>
        <v>Não liberado</v>
      </c>
    </row>
    <row r="361" spans="1:28">
      <c r="A361" t="s">
        <v>93</v>
      </c>
      <c r="B361" t="str">
        <f t="shared" si="61"/>
        <v>Inativo</v>
      </c>
      <c r="C361" t="str">
        <f t="shared" si="62"/>
        <v>Cersei Tarth</v>
      </c>
      <c r="D361" s="15" t="s">
        <v>704</v>
      </c>
      <c r="E361" s="16">
        <v>20300</v>
      </c>
      <c r="F361" s="16" t="str">
        <f t="shared" si="70"/>
        <v>000.000.203-00</v>
      </c>
      <c r="G361">
        <v>46</v>
      </c>
      <c r="H361">
        <f t="shared" ca="1" si="71"/>
        <v>46</v>
      </c>
      <c r="I361" s="12">
        <v>29427</v>
      </c>
      <c r="J361" t="s">
        <v>178</v>
      </c>
      <c r="K361" t="str">
        <f t="shared" si="63"/>
        <v>Harrenhal</v>
      </c>
      <c r="L361" t="s">
        <v>155</v>
      </c>
      <c r="M361" t="str" cm="1">
        <f t="array" ref="M361">PROPER(IF(L361&lt;&gt;"",L361,_xlfn.XLOOKUP(1,($K$2:$K$398=K361)*($L$2:$L$398&lt;&gt;""),$L$2:$L$398,"")))</f>
        <v>Terras Fluviais</v>
      </c>
      <c r="O361" t="str">
        <f t="shared" si="72"/>
        <v>Não informado</v>
      </c>
      <c r="P361">
        <v>37500</v>
      </c>
      <c r="Q361" s="17">
        <f t="shared" si="64"/>
        <v>37500</v>
      </c>
      <c r="R361" t="s">
        <v>49</v>
      </c>
      <c r="S361" t="str">
        <f t="shared" si="65"/>
        <v>Não</v>
      </c>
      <c r="U361">
        <f t="shared" si="66"/>
        <v>0</v>
      </c>
      <c r="V361" t="s">
        <v>49</v>
      </c>
      <c r="W361">
        <v>21500</v>
      </c>
      <c r="X361">
        <f t="shared" si="67"/>
        <v>21500</v>
      </c>
      <c r="Y361" t="str">
        <f t="shared" si="68"/>
        <v>Baixo</v>
      </c>
      <c r="Z361" t="str">
        <f>IF(AND(Y361="Alto",S361="Sim"),"Negada","Aprovada")</f>
        <v>Aprovada</v>
      </c>
      <c r="AA361" t="str">
        <f t="shared" si="69"/>
        <v>Aprovada</v>
      </c>
      <c r="AB361" t="str">
        <f>IF(AND(Z361="Negada",AA361="Negada"),"Já foi negado",IF(B361="Ativo",X361*8%,"Não liberado"))</f>
        <v>Não liberado</v>
      </c>
    </row>
    <row r="362" spans="1:28">
      <c r="A362" t="s">
        <v>88</v>
      </c>
      <c r="B362" t="str">
        <f t="shared" si="61"/>
        <v>Ativo</v>
      </c>
      <c r="C362" t="str">
        <f t="shared" si="62"/>
        <v>Melisandre Glover</v>
      </c>
      <c r="D362" s="15" t="s">
        <v>820</v>
      </c>
      <c r="E362" s="16" t="s">
        <v>821</v>
      </c>
      <c r="F362" s="16" t="str">
        <f t="shared" si="70"/>
        <v>000.000.329-00</v>
      </c>
      <c r="G362">
        <v>22</v>
      </c>
      <c r="H362">
        <f t="shared" ca="1" si="71"/>
        <v>22</v>
      </c>
      <c r="I362" s="12">
        <v>38204</v>
      </c>
      <c r="J362" t="s">
        <v>91</v>
      </c>
      <c r="K362" t="str">
        <f t="shared" si="63"/>
        <v>Ninho da Águia</v>
      </c>
      <c r="L362" t="s">
        <v>92</v>
      </c>
      <c r="M362" t="str" cm="1">
        <f t="array" ref="M362">PROPER(IF(L362&lt;&gt;"",L362,_xlfn.XLOOKUP(1,($K$2:$K$398=K362)*($L$2:$L$398&lt;&gt;""),$L$2:$L$398,"")))</f>
        <v>Vale</v>
      </c>
      <c r="N362">
        <v>10500</v>
      </c>
      <c r="O362">
        <f t="shared" si="72"/>
        <v>10500</v>
      </c>
      <c r="P362" s="14">
        <v>50500</v>
      </c>
      <c r="Q362" s="17">
        <f t="shared" si="64"/>
        <v>50500</v>
      </c>
      <c r="R362" t="s">
        <v>49</v>
      </c>
      <c r="S362" t="str">
        <f t="shared" si="65"/>
        <v>Não</v>
      </c>
      <c r="T362">
        <v>16</v>
      </c>
      <c r="U362">
        <f t="shared" si="66"/>
        <v>16</v>
      </c>
      <c r="V362" t="s">
        <v>49</v>
      </c>
      <c r="W362">
        <v>41500</v>
      </c>
      <c r="X362">
        <f t="shared" si="67"/>
        <v>41500</v>
      </c>
      <c r="Y362" t="str">
        <f t="shared" si="68"/>
        <v>Médio</v>
      </c>
      <c r="Z362" t="str">
        <f>IF(AND(Y362="Alto",S362="Sim"),"Negada","Aprovada")</f>
        <v>Aprovada</v>
      </c>
      <c r="AA362" t="str">
        <f t="shared" si="69"/>
        <v>Aprovada</v>
      </c>
      <c r="AB362">
        <f>IF(AND(Z362="Negada",AA362="Negada"),"Já foi negado",IF(B362="Ativo",X362*8%,"Não liberado"))</f>
        <v>3320</v>
      </c>
    </row>
    <row r="363" spans="1:28">
      <c r="A363" t="s">
        <v>88</v>
      </c>
      <c r="B363" t="str">
        <f t="shared" si="61"/>
        <v>Ativo</v>
      </c>
      <c r="C363" t="str">
        <f t="shared" si="62"/>
        <v>Jon Baelish</v>
      </c>
      <c r="D363" s="15" t="s">
        <v>822</v>
      </c>
      <c r="E363" s="16">
        <v>21400</v>
      </c>
      <c r="F363" s="16" t="str">
        <f t="shared" si="70"/>
        <v>000.000.214-00</v>
      </c>
      <c r="G363">
        <v>67</v>
      </c>
      <c r="H363">
        <f t="shared" ca="1" si="71"/>
        <v>67</v>
      </c>
      <c r="I363" s="12">
        <v>21689</v>
      </c>
      <c r="J363" t="s">
        <v>130</v>
      </c>
      <c r="K363" t="str">
        <f t="shared" si="63"/>
        <v>Meereen</v>
      </c>
      <c r="L363" t="s">
        <v>131</v>
      </c>
      <c r="M363" t="str" cm="1">
        <f t="array" ref="M363">PROPER(IF(L363&lt;&gt;"",L363,_xlfn.XLOOKUP(1,($K$2:$K$398=K363)*($L$2:$L$398&lt;&gt;""),$L$2:$L$398,"")))</f>
        <v>Essos</v>
      </c>
      <c r="N363">
        <v>10700</v>
      </c>
      <c r="O363">
        <f t="shared" si="72"/>
        <v>10700</v>
      </c>
      <c r="P363" s="13">
        <v>9000</v>
      </c>
      <c r="Q363" s="17">
        <f t="shared" si="64"/>
        <v>9000</v>
      </c>
      <c r="R363" t="s">
        <v>49</v>
      </c>
      <c r="S363" t="str">
        <f t="shared" si="65"/>
        <v>Não</v>
      </c>
      <c r="T363">
        <v>37</v>
      </c>
      <c r="U363">
        <f t="shared" si="66"/>
        <v>37</v>
      </c>
      <c r="V363" t="s">
        <v>49</v>
      </c>
      <c r="W363">
        <v>53000</v>
      </c>
      <c r="X363">
        <f t="shared" si="67"/>
        <v>53000</v>
      </c>
      <c r="Y363" t="str">
        <f t="shared" si="68"/>
        <v>Alto</v>
      </c>
      <c r="Z363" t="str">
        <f>IF(AND(Y363="Alto",S363="Sim"),"Negada","Aprovada")</f>
        <v>Aprovada</v>
      </c>
      <c r="AA363" t="str">
        <f t="shared" si="69"/>
        <v>Aprovada</v>
      </c>
      <c r="AB363">
        <f>IF(AND(Z363="Negada",AA363="Negada"),"Já foi negado",IF(B363="Ativo",X363*8%,"Não liberado"))</f>
        <v>4240</v>
      </c>
    </row>
    <row r="364" spans="1:28">
      <c r="A364" t="s">
        <v>88</v>
      </c>
      <c r="B364" t="str">
        <f t="shared" si="61"/>
        <v>Ativo</v>
      </c>
      <c r="C364" t="str">
        <f t="shared" si="62"/>
        <v>Bran Tarly</v>
      </c>
      <c r="D364" s="15" t="s">
        <v>823</v>
      </c>
      <c r="E364" s="16" t="s">
        <v>824</v>
      </c>
      <c r="F364" s="16" t="str">
        <f t="shared" si="70"/>
        <v>000.000.269-00</v>
      </c>
      <c r="G364">
        <v>53</v>
      </c>
      <c r="H364">
        <f t="shared" ca="1" si="71"/>
        <v>53</v>
      </c>
      <c r="I364" s="12">
        <v>26790</v>
      </c>
      <c r="J364" t="s">
        <v>136</v>
      </c>
      <c r="K364" t="str">
        <f t="shared" si="63"/>
        <v>Braavos</v>
      </c>
      <c r="L364" t="s">
        <v>131</v>
      </c>
      <c r="M364" t="str" cm="1">
        <f t="array" ref="M364">PROPER(IF(L364&lt;&gt;"",L364,_xlfn.XLOOKUP(1,($K$2:$K$398=K364)*($L$2:$L$398&lt;&gt;""),$L$2:$L$398,"")))</f>
        <v>Essos</v>
      </c>
      <c r="N364" t="s">
        <v>194</v>
      </c>
      <c r="O364" t="str">
        <f t="shared" si="72"/>
        <v>sem renda</v>
      </c>
      <c r="P364" s="13">
        <v>21500</v>
      </c>
      <c r="Q364" s="17">
        <f t="shared" si="64"/>
        <v>21500</v>
      </c>
      <c r="R364" t="s">
        <v>50</v>
      </c>
      <c r="S364" t="str">
        <f t="shared" si="65"/>
        <v>Sim</v>
      </c>
      <c r="T364">
        <v>44</v>
      </c>
      <c r="U364">
        <f t="shared" si="66"/>
        <v>44</v>
      </c>
      <c r="V364" t="s">
        <v>50</v>
      </c>
      <c r="W364">
        <v>3500</v>
      </c>
      <c r="X364">
        <f t="shared" si="67"/>
        <v>3500</v>
      </c>
      <c r="Y364" t="str">
        <f t="shared" si="68"/>
        <v>Alto</v>
      </c>
      <c r="Z364" t="str">
        <f>IF(AND(Y364="Alto",S364="Sim"),"Negada","Aprovada")</f>
        <v>Negada</v>
      </c>
      <c r="AA364" t="str">
        <f t="shared" si="69"/>
        <v>Aprovada</v>
      </c>
      <c r="AB364">
        <f>IF(AND(Z364="Negada",AA364="Negada"),"Já foi negado",IF(B364="Ativo",X364*8%,"Não liberado"))</f>
        <v>280</v>
      </c>
    </row>
    <row r="365" spans="1:28">
      <c r="A365" t="s">
        <v>93</v>
      </c>
      <c r="B365" t="str">
        <f t="shared" si="61"/>
        <v>Inativo</v>
      </c>
      <c r="C365" t="str">
        <f t="shared" si="62"/>
        <v>Eddard Dayne</v>
      </c>
      <c r="D365" s="15" t="s">
        <v>825</v>
      </c>
      <c r="E365" s="16">
        <v>3200</v>
      </c>
      <c r="F365" s="16" t="str">
        <f t="shared" si="70"/>
        <v>000.000.032-00</v>
      </c>
      <c r="G365">
        <v>31</v>
      </c>
      <c r="H365">
        <f t="shared" ca="1" si="71"/>
        <v>31</v>
      </c>
      <c r="I365" s="12">
        <v>34746</v>
      </c>
      <c r="J365" t="s">
        <v>136</v>
      </c>
      <c r="K365" t="str">
        <f t="shared" si="63"/>
        <v>Braavos</v>
      </c>
      <c r="L365" t="s">
        <v>267</v>
      </c>
      <c r="M365" t="str" cm="1">
        <f t="array" ref="M365">PROPER(IF(L365&lt;&gt;"",L365,_xlfn.XLOOKUP(1,($K$2:$K$398=K365)*($L$2:$L$398&lt;&gt;""),$L$2:$L$398,"")))</f>
        <v>Essos</v>
      </c>
      <c r="N365" s="13">
        <v>18200</v>
      </c>
      <c r="O365">
        <f t="shared" si="72"/>
        <v>18200</v>
      </c>
      <c r="P365">
        <v>78500</v>
      </c>
      <c r="Q365" s="17">
        <f t="shared" si="64"/>
        <v>78500</v>
      </c>
      <c r="R365" t="s">
        <v>49</v>
      </c>
      <c r="S365" t="str">
        <f t="shared" si="65"/>
        <v>Não</v>
      </c>
      <c r="T365">
        <v>9</v>
      </c>
      <c r="U365">
        <f t="shared" si="66"/>
        <v>9</v>
      </c>
      <c r="V365" t="s">
        <v>49</v>
      </c>
      <c r="W365">
        <v>73000</v>
      </c>
      <c r="X365">
        <f t="shared" si="67"/>
        <v>73000</v>
      </c>
      <c r="Y365" t="str">
        <f t="shared" si="68"/>
        <v>Baixo</v>
      </c>
      <c r="Z365" t="str">
        <f>IF(AND(Y365="Alto",S365="Sim"),"Negada","Aprovada")</f>
        <v>Aprovada</v>
      </c>
      <c r="AA365" t="str">
        <f t="shared" si="69"/>
        <v>Aprovada</v>
      </c>
      <c r="AB365" t="str">
        <f>IF(AND(Z365="Negada",AA365="Negada"),"Já foi negado",IF(B365="Ativo",X365*8%,"Não liberado"))</f>
        <v>Não liberado</v>
      </c>
    </row>
    <row r="366" spans="1:28">
      <c r="A366" t="s">
        <v>88</v>
      </c>
      <c r="B366" t="str">
        <f t="shared" si="61"/>
        <v>Ativo</v>
      </c>
      <c r="C366" t="str">
        <f t="shared" si="62"/>
        <v>Thoros Tarth</v>
      </c>
      <c r="D366" s="15" t="s">
        <v>273</v>
      </c>
      <c r="E366" s="16" t="s">
        <v>826</v>
      </c>
      <c r="F366" s="16" t="str">
        <f t="shared" si="70"/>
        <v>000.000.280-00</v>
      </c>
      <c r="G366">
        <v>41</v>
      </c>
      <c r="H366">
        <f t="shared" ca="1" si="71"/>
        <v>41</v>
      </c>
      <c r="I366" s="12">
        <v>31156</v>
      </c>
      <c r="J366" t="s">
        <v>171</v>
      </c>
      <c r="K366" t="str">
        <f t="shared" si="63"/>
        <v>Fosso Cailin</v>
      </c>
      <c r="L366" t="s">
        <v>164</v>
      </c>
      <c r="M366" t="str" cm="1">
        <f t="array" ref="M366">PROPER(IF(L366&lt;&gt;"",L366,_xlfn.XLOOKUP(1,($K$2:$K$398=K366)*($L$2:$L$398&lt;&gt;""),$L$2:$L$398,"")))</f>
        <v>Norte</v>
      </c>
      <c r="N366" s="13">
        <v>26500</v>
      </c>
      <c r="O366">
        <f t="shared" si="72"/>
        <v>26500</v>
      </c>
      <c r="P366" t="s">
        <v>827</v>
      </c>
      <c r="Q366" s="17">
        <f t="shared" si="64"/>
        <v>29500</v>
      </c>
      <c r="R366" t="s">
        <v>49</v>
      </c>
      <c r="S366" t="str">
        <f t="shared" si="65"/>
        <v>Não</v>
      </c>
      <c r="T366">
        <v>5</v>
      </c>
      <c r="U366">
        <f t="shared" si="66"/>
        <v>5</v>
      </c>
      <c r="V366" t="s">
        <v>49</v>
      </c>
      <c r="W366">
        <v>75000</v>
      </c>
      <c r="X366">
        <f t="shared" si="67"/>
        <v>75000</v>
      </c>
      <c r="Y366" t="str">
        <f t="shared" si="68"/>
        <v>Baixo</v>
      </c>
      <c r="Z366" t="str">
        <f>IF(AND(Y366="Alto",S366="Sim"),"Negada","Aprovada")</f>
        <v>Aprovada</v>
      </c>
      <c r="AA366" t="str">
        <f t="shared" si="69"/>
        <v>Aprovada</v>
      </c>
      <c r="AB366">
        <f>IF(AND(Z366="Negada",AA366="Negada"),"Já foi negado",IF(B366="Ativo",X366*8%,"Não liberado"))</f>
        <v>6000</v>
      </c>
    </row>
    <row r="367" spans="1:28">
      <c r="A367" t="s">
        <v>93</v>
      </c>
      <c r="B367" t="str">
        <f t="shared" si="61"/>
        <v>Inativo</v>
      </c>
      <c r="C367" t="str">
        <f t="shared" si="62"/>
        <v>Renly Bolton</v>
      </c>
      <c r="D367" s="15" t="s">
        <v>828</v>
      </c>
      <c r="E367" s="16">
        <v>20600</v>
      </c>
      <c r="F367" s="16" t="str">
        <f t="shared" si="70"/>
        <v>000.000.206-00</v>
      </c>
      <c r="G367">
        <v>55</v>
      </c>
      <c r="H367">
        <f t="shared" ca="1" si="71"/>
        <v>55</v>
      </c>
      <c r="I367" s="12">
        <v>26075</v>
      </c>
      <c r="J367" t="s">
        <v>91</v>
      </c>
      <c r="K367" t="str">
        <f t="shared" si="63"/>
        <v>Ninho da Águia</v>
      </c>
      <c r="L367" t="s">
        <v>92</v>
      </c>
      <c r="M367" t="str" cm="1">
        <f t="array" ref="M367">PROPER(IF(L367&lt;&gt;"",L367,_xlfn.XLOOKUP(1,($K$2:$K$398=K367)*($L$2:$L$398&lt;&gt;""),$L$2:$L$398,"")))</f>
        <v>Vale</v>
      </c>
      <c r="N367" s="13">
        <v>21100</v>
      </c>
      <c r="O367">
        <f t="shared" si="72"/>
        <v>21100</v>
      </c>
      <c r="P367" s="14">
        <v>67500</v>
      </c>
      <c r="Q367" s="17">
        <f t="shared" si="64"/>
        <v>67500</v>
      </c>
      <c r="R367" t="s">
        <v>49</v>
      </c>
      <c r="S367" t="str">
        <f t="shared" si="65"/>
        <v>Não</v>
      </c>
      <c r="T367">
        <v>15</v>
      </c>
      <c r="U367">
        <f t="shared" si="66"/>
        <v>15</v>
      </c>
      <c r="V367" t="s">
        <v>49</v>
      </c>
      <c r="W367">
        <v>20000</v>
      </c>
      <c r="X367">
        <f t="shared" si="67"/>
        <v>20000</v>
      </c>
      <c r="Y367" t="str">
        <f t="shared" si="68"/>
        <v>Médio</v>
      </c>
      <c r="Z367" t="str">
        <f>IF(AND(Y367="Alto",S367="Sim"),"Negada","Aprovada")</f>
        <v>Aprovada</v>
      </c>
      <c r="AA367" t="str">
        <f t="shared" si="69"/>
        <v>Aprovada</v>
      </c>
      <c r="AB367" t="str">
        <f>IF(AND(Z367="Negada",AA367="Negada"),"Já foi negado",IF(B367="Ativo",X367*8%,"Não liberado"))</f>
        <v>Não liberado</v>
      </c>
    </row>
    <row r="368" spans="1:28">
      <c r="A368" t="s">
        <v>88</v>
      </c>
      <c r="B368" t="str">
        <f t="shared" si="61"/>
        <v>Ativo</v>
      </c>
      <c r="C368" t="str">
        <f t="shared" si="62"/>
        <v>Rhaegar Payne</v>
      </c>
      <c r="D368" s="15" t="s">
        <v>829</v>
      </c>
      <c r="E368" s="16" t="s">
        <v>830</v>
      </c>
      <c r="F368" s="16" t="str">
        <f t="shared" si="70"/>
        <v>000.000.253-00</v>
      </c>
      <c r="G368">
        <v>60</v>
      </c>
      <c r="H368">
        <f t="shared" ca="1" si="71"/>
        <v>60</v>
      </c>
      <c r="I368" s="12">
        <v>24272</v>
      </c>
      <c r="J368" t="s">
        <v>226</v>
      </c>
      <c r="K368" t="str">
        <f t="shared" si="63"/>
        <v>Monte Chifre</v>
      </c>
      <c r="L368" t="s">
        <v>222</v>
      </c>
      <c r="M368" t="str" cm="1">
        <f t="array" ref="M368">PROPER(IF(L368&lt;&gt;"",L368,_xlfn.XLOOKUP(1,($K$2:$K$398=K368)*($L$2:$L$398&lt;&gt;""),$L$2:$L$398,"")))</f>
        <v>Campina</v>
      </c>
      <c r="N368">
        <v>17300</v>
      </c>
      <c r="O368">
        <f t="shared" si="72"/>
        <v>17300</v>
      </c>
      <c r="P368" s="13">
        <v>15000</v>
      </c>
      <c r="Q368" s="17">
        <f t="shared" si="64"/>
        <v>15000</v>
      </c>
      <c r="R368" t="s">
        <v>49</v>
      </c>
      <c r="S368" t="str">
        <f t="shared" si="65"/>
        <v>Não</v>
      </c>
      <c r="T368">
        <v>17</v>
      </c>
      <c r="U368">
        <f t="shared" si="66"/>
        <v>17</v>
      </c>
      <c r="V368" t="s">
        <v>49</v>
      </c>
      <c r="W368">
        <v>69000</v>
      </c>
      <c r="X368">
        <f t="shared" si="67"/>
        <v>69000</v>
      </c>
      <c r="Y368" t="str">
        <f t="shared" si="68"/>
        <v>Médio</v>
      </c>
      <c r="Z368" t="str">
        <f>IF(AND(Y368="Alto",S368="Sim"),"Negada","Aprovada")</f>
        <v>Aprovada</v>
      </c>
      <c r="AA368" t="str">
        <f t="shared" si="69"/>
        <v>Aprovada</v>
      </c>
      <c r="AB368">
        <f>IF(AND(Z368="Negada",AA368="Negada"),"Já foi negado",IF(B368="Ativo",X368*8%,"Não liberado"))</f>
        <v>5520</v>
      </c>
    </row>
    <row r="369" spans="1:28">
      <c r="A369" t="s">
        <v>88</v>
      </c>
      <c r="B369" t="str">
        <f t="shared" si="61"/>
        <v>Ativo</v>
      </c>
      <c r="C369" t="str">
        <f t="shared" si="62"/>
        <v>Bronn Dondarrion</v>
      </c>
      <c r="D369" s="15" t="s">
        <v>831</v>
      </c>
      <c r="E369" s="16" t="s">
        <v>832</v>
      </c>
      <c r="F369" s="16" t="str">
        <f t="shared" si="70"/>
        <v>000.000.036-00</v>
      </c>
      <c r="G369">
        <v>49</v>
      </c>
      <c r="H369">
        <f t="shared" ca="1" si="71"/>
        <v>49</v>
      </c>
      <c r="I369" s="12">
        <v>28136</v>
      </c>
      <c r="J369" t="s">
        <v>182</v>
      </c>
      <c r="K369" t="str">
        <f t="shared" si="63"/>
        <v>Jardim de Cima</v>
      </c>
      <c r="L369" t="s">
        <v>227</v>
      </c>
      <c r="M369" t="str" cm="1">
        <f t="array" ref="M369">PROPER(IF(L369&lt;&gt;"",L369,_xlfn.XLOOKUP(1,($K$2:$K$398=K369)*($L$2:$L$398&lt;&gt;""),$L$2:$L$398,"")))</f>
        <v>Campina</v>
      </c>
      <c r="N369">
        <v>20300</v>
      </c>
      <c r="O369">
        <f t="shared" si="72"/>
        <v>20300</v>
      </c>
      <c r="P369" s="14">
        <v>12000</v>
      </c>
      <c r="Q369" s="17">
        <f t="shared" si="64"/>
        <v>12000</v>
      </c>
      <c r="R369" t="s">
        <v>50</v>
      </c>
      <c r="S369" t="str">
        <f t="shared" si="65"/>
        <v>Sim</v>
      </c>
      <c r="T369">
        <v>27</v>
      </c>
      <c r="U369">
        <f t="shared" si="66"/>
        <v>27</v>
      </c>
      <c r="V369" t="s">
        <v>50</v>
      </c>
      <c r="W369">
        <v>67500</v>
      </c>
      <c r="X369">
        <f t="shared" si="67"/>
        <v>67500</v>
      </c>
      <c r="Y369" t="str">
        <f t="shared" si="68"/>
        <v>Alto</v>
      </c>
      <c r="Z369" t="str">
        <f>IF(AND(Y369="Alto",S369="Sim"),"Negada","Aprovada")</f>
        <v>Negada</v>
      </c>
      <c r="AA369" t="str">
        <f t="shared" si="69"/>
        <v>Aprovada</v>
      </c>
      <c r="AB369">
        <f>IF(AND(Z369="Negada",AA369="Negada"),"Já foi negado",IF(B369="Ativo",X369*8%,"Não liberado"))</f>
        <v>5400</v>
      </c>
    </row>
  </sheetData>
  <conditionalFormatting sqref="A2:AB369">
    <cfRule type="expression" dxfId="1" priority="2">
      <formula>ISODD(ROW())</formula>
    </cfRule>
  </conditionalFormatting>
  <conditionalFormatting sqref="A2:AB369">
    <cfRule type="expression" dxfId="0" priority="1">
      <formula>ISEVEN(ROW())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2026-09-04T17:54:42Z</dcterms:created>
  <dcterms:modified xsi:type="dcterms:W3CDTF">2026-09-09T10:49:10Z</dcterms:modified>
  <cp:category/>
  <cp:contentStatus/>
</cp:coreProperties>
</file>